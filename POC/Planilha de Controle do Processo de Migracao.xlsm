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bin\DocOrigin\User\Forms\celepar\POC\"/>
    </mc:Choice>
  </mc:AlternateContent>
  <xr:revisionPtr revIDLastSave="0" documentId="13_ncr:1_{2D6ECAC3-0A15-4D39-A1DC-B1EF26745E04}" xr6:coauthVersionLast="47" xr6:coauthVersionMax="47" xr10:uidLastSave="{00000000-0000-0000-0000-000000000000}"/>
  <bookViews>
    <workbookView xWindow="-110" yWindow="-110" windowWidth="19420" windowHeight="10300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" l="1"/>
  <c r="D49" i="3" s="1"/>
  <c r="L4" i="1"/>
  <c r="D45" i="3" s="1"/>
  <c r="M3" i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K4" i="1"/>
  <c r="E12" i="4" s="1"/>
  <c r="J4" i="1"/>
  <c r="D37" i="3" s="1"/>
  <c r="I4" i="1"/>
  <c r="E10" i="4" s="1"/>
  <c r="H4" i="1"/>
  <c r="D29" i="3" s="1"/>
  <c r="G4" i="1"/>
  <c r="D25" i="3" s="1"/>
  <c r="F4" i="1"/>
  <c r="D21" i="3" s="1"/>
  <c r="E4" i="1"/>
  <c r="D17" i="3" s="1"/>
  <c r="D4" i="1"/>
  <c r="E5" i="4" s="1"/>
  <c r="D3" i="1"/>
  <c r="D12" i="3" s="1"/>
  <c r="C3" i="1"/>
  <c r="D8" i="3" s="1"/>
  <c r="C4" i="1"/>
  <c r="D9" i="3" s="1"/>
  <c r="B4" i="1"/>
  <c r="E3" i="4" s="1"/>
  <c r="B3" i="1"/>
  <c r="D4" i="3" s="1"/>
  <c r="E13" i="4"/>
  <c r="D13" i="4"/>
  <c r="D5" i="4"/>
  <c r="D4" i="4" l="1"/>
  <c r="D13" i="3"/>
  <c r="D12" i="4"/>
  <c r="D11" i="4"/>
  <c r="D3" i="4"/>
  <c r="D5" i="3"/>
  <c r="H3" i="3" s="1"/>
  <c r="E7" i="4"/>
  <c r="E11" i="4"/>
  <c r="D7" i="4"/>
  <c r="D41" i="3"/>
  <c r="D48" i="3"/>
  <c r="D24" i="3"/>
  <c r="E14" i="4"/>
  <c r="E8" i="4"/>
  <c r="D6" i="4"/>
  <c r="E4" i="4"/>
  <c r="E6" i="4"/>
  <c r="D9" i="4"/>
  <c r="E9" i="4"/>
  <c r="D32" i="3"/>
  <c r="D33" i="3"/>
</calcChain>
</file>

<file path=xl/sharedStrings.xml><?xml version="1.0" encoding="utf-8"?>
<sst xmlns="http://schemas.openxmlformats.org/spreadsheetml/2006/main" count="202" uniqueCount="72">
  <si>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</si>
  <si>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</si>
  <si>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</si>
  <si>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</si>
  <si>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</si>
  <si>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</si>
  <si>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</si>
  <si>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</si>
  <si>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</si>
  <si>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</si>
  <si>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</si>
  <si>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</si>
  <si>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</si>
  <si>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</si>
  <si>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</si>
  <si>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</si>
  <si>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</si>
  <si>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</si>
  <si>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</si>
  <si>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</si>
  <si>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</si>
  <si>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</si>
  <si>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</si>
  <si>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</si>
  <si>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</si>
  <si>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</si>
  <si>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</si>
  <si>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</si>
  <si>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</si>
  <si>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</si>
  <si>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</si>
  <si>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</si>
  <si>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</si>
  <si>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</si>
  <si>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</si>
  <si>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</si>
  <si>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</si>
  <si>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</si>
  <si>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</si>
  <si>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</si>
  <si>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</si>
  <si>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</si>
  <si>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</si>
  <si>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</si>
  <si>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</si>
  <si>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</si>
  <si>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</si>
  <si>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</si>
  <si>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</si>
  <si>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</si>
  <si>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</si>
  <si>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</si>
  <si>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</si>
  <si>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</si>
  <si>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dddd</t>
  </si>
  <si>
    <t>Diario</t>
  </si>
  <si>
    <t>DDD</t>
  </si>
  <si>
    <t>EEE</t>
  </si>
  <si>
    <t>Relatório</t>
  </si>
  <si>
    <t>Descrição</t>
  </si>
  <si>
    <t>EEEEE</t>
  </si>
  <si>
    <t>FFFF</t>
  </si>
  <si>
    <t>GGGG</t>
  </si>
  <si>
    <t>FF</t>
  </si>
  <si>
    <t>H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</si>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</sst>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Resumo!$C$31</c:f>
              <c:strCache>
                <c:ptCount val="1"/>
                <c:pt idx="0">
                  <c:v>Com Conversao Eclipse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Resumo!$C$32:$C$33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Resumo!$D$32:$D$33</c:f>
              <c:numCache>
                <c:formatCode>General</c:formatCode>
                <c:ptCount val="2"/>
                <c:pt idx="0">
                  <c:v>8</c:v>
                </c:pt>
                <c:pt idx="1">
                  <c:v>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992</c:v>
                </c:pt>
                <c:pt idx="1">
                  <c:v>992</c:v>
                </c:pt>
                <c:pt idx="2">
                  <c:v>992</c:v>
                </c:pt>
                <c:pt idx="3">
                  <c:v>992</c:v>
                </c:pt>
                <c:pt idx="4">
                  <c:v>992</c:v>
                </c:pt>
                <c:pt idx="5">
                  <c:v>992</c:v>
                </c:pt>
                <c:pt idx="6">
                  <c:v>992</c:v>
                </c:pt>
                <c:pt idx="7">
                  <c:v>992</c:v>
                </c:pt>
                <c:pt idx="8">
                  <c:v>994</c:v>
                </c:pt>
                <c:pt idx="9">
                  <c:v>995</c:v>
                </c:pt>
                <c:pt idx="10">
                  <c:v>996</c:v>
                </c:pt>
                <c:pt idx="11">
                  <c:v>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565150</xdr:colOff>
          <xdr:row>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3</xdr:row>
          <xdr:rowOff>44450</xdr:rowOff>
        </xdr:from>
        <xdr:to>
          <xdr:col>10</xdr:col>
          <xdr:colOff>565150</xdr:colOff>
          <xdr:row>5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5</xdr:row>
          <xdr:rowOff>69850</xdr:rowOff>
        </xdr:from>
        <xdr:to>
          <xdr:col>10</xdr:col>
          <xdr:colOff>565150</xdr:colOff>
          <xdr:row>7</xdr:row>
          <xdr:rowOff>44450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7</xdr:row>
          <xdr:rowOff>88900</xdr:rowOff>
        </xdr:from>
        <xdr:to>
          <xdr:col>10</xdr:col>
          <xdr:colOff>565150</xdr:colOff>
          <xdr:row>9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</xdr:row>
          <xdr:rowOff>25400</xdr:rowOff>
        </xdr:from>
        <xdr:to>
          <xdr:col>13</xdr:col>
          <xdr:colOff>349250</xdr:colOff>
          <xdr:row>3</xdr:row>
          <xdr:rowOff>6350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44450</xdr:rowOff>
        </xdr:from>
        <xdr:to>
          <xdr:col>13</xdr:col>
          <xdr:colOff>349250</xdr:colOff>
          <xdr:row>5</xdr:row>
          <xdr:rowOff>25400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5</xdr:row>
          <xdr:rowOff>69850</xdr:rowOff>
        </xdr:from>
        <xdr:to>
          <xdr:col>13</xdr:col>
          <xdr:colOff>349250</xdr:colOff>
          <xdr:row>7</xdr:row>
          <xdr:rowOff>44450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7</xdr:row>
          <xdr:rowOff>88900</xdr:rowOff>
        </xdr:from>
        <xdr:to>
          <xdr:col>13</xdr:col>
          <xdr:colOff>349250</xdr:colOff>
          <xdr:row>9</xdr:row>
          <xdr:rowOff>69850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25400</xdr:rowOff>
        </xdr:from>
        <xdr:to>
          <xdr:col>16</xdr:col>
          <xdr:colOff>120650</xdr:colOff>
          <xdr:row>3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3</xdr:row>
          <xdr:rowOff>44450</xdr:rowOff>
        </xdr:from>
        <xdr:to>
          <xdr:col>16</xdr:col>
          <xdr:colOff>120650</xdr:colOff>
          <xdr:row>5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5</xdr:row>
          <xdr:rowOff>69850</xdr:rowOff>
        </xdr:from>
        <xdr:to>
          <xdr:col>16</xdr:col>
          <xdr:colOff>120650</xdr:colOff>
          <xdr:row>7</xdr:row>
          <xdr:rowOff>44450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7</xdr:row>
          <xdr:rowOff>88900</xdr:rowOff>
        </xdr:from>
        <xdr:to>
          <xdr:col>16</xdr:col>
          <xdr:colOff>120650</xdr:colOff>
          <xdr:row>9</xdr:row>
          <xdr:rowOff>69850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102871</xdr:colOff>
      <xdr:row>0</xdr:row>
      <xdr:rowOff>1202307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223010" cy="12023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workbookViewId="0">
      <pane ySplit="28" topLeftCell="A80" activePane="bottomLeft" state="frozen"/>
      <selection pane="bottomLeft" activeCell="A29" sqref="A29:XFD29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1" spans="2:8" ht="4.5" customHeight="1" x14ac:dyDescent="0.35">
      <c r="D1" s="2"/>
    </row>
    <row r="2" spans="2:8" x14ac:dyDescent="0.35">
      <c r="B2" s="3"/>
      <c r="D2" s="4"/>
      <c r="E2" s="3"/>
      <c r="F2" s="3" t="s">
        <v>41</v>
      </c>
      <c r="G2" s="3"/>
      <c r="H2" s="3"/>
    </row>
    <row r="3" spans="2:8" x14ac:dyDescent="0.35">
      <c r="B3" s="3"/>
      <c r="C3" s="5" t="s">
        <v>26</v>
      </c>
      <c r="D3" s="5" t="s">
        <v>40</v>
      </c>
      <c r="E3" s="3"/>
      <c r="F3" s="3"/>
      <c r="G3" s="3"/>
      <c r="H3" s="3">
        <f>D5</f>
        <v>992</v>
      </c>
    </row>
    <row r="4" spans="2:8" x14ac:dyDescent="0.35">
      <c r="B4" s="3"/>
      <c r="C4" s="4" t="s">
        <v>24</v>
      </c>
      <c r="D4" s="4">
        <f>Dados!$B$3</f>
        <v>8</v>
      </c>
      <c r="E4" s="3"/>
      <c r="F4" s="3"/>
      <c r="G4" s="3"/>
      <c r="H4" s="3"/>
    </row>
    <row r="5" spans="2:8" x14ac:dyDescent="0.35">
      <c r="B5" s="3"/>
      <c r="C5" s="4" t="s">
        <v>25</v>
      </c>
      <c r="D5" s="4">
        <f>Dados!$B$4</f>
        <v>992</v>
      </c>
      <c r="E5" s="3"/>
      <c r="F5" s="3" t="s">
        <v>42</v>
      </c>
      <c r="G5" s="3"/>
      <c r="H5" s="3"/>
    </row>
    <row r="6" spans="2:8" ht="15.5" x14ac:dyDescent="0.35">
      <c r="B6" s="3"/>
      <c r="C6" s="16" t="s">
        <v>66</v>
      </c>
      <c r="D6" s="4"/>
      <c r="E6" s="3"/>
      <c r="F6" s="3"/>
      <c r="G6" s="3"/>
      <c r="H6" s="3"/>
    </row>
    <row r="7" spans="2:8" x14ac:dyDescent="0.35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35">
      <c r="B8" s="3"/>
      <c r="C8" s="4" t="s">
        <v>24</v>
      </c>
      <c r="D8" s="4">
        <f>Dados!$C$3</f>
        <v>8</v>
      </c>
      <c r="E8" s="3"/>
      <c r="F8" s="3"/>
      <c r="G8" s="3"/>
      <c r="H8" s="3"/>
    </row>
    <row r="9" spans="2:8" x14ac:dyDescent="0.35">
      <c r="B9" s="3"/>
      <c r="C9" s="4" t="s">
        <v>25</v>
      </c>
      <c r="D9" s="4">
        <f>Dados!$C$4</f>
        <v>992</v>
      </c>
      <c r="E9" s="3"/>
      <c r="F9" s="3" t="s">
        <v>43</v>
      </c>
      <c r="G9" s="3"/>
      <c r="H9" s="3"/>
    </row>
    <row r="10" spans="2:8" x14ac:dyDescent="0.35">
      <c r="B10" s="3"/>
      <c r="C10" s="3"/>
      <c r="D10" s="4"/>
      <c r="E10" s="3"/>
      <c r="F10" s="3"/>
      <c r="G10" s="3"/>
      <c r="H10" s="3"/>
    </row>
    <row r="11" spans="2:8" x14ac:dyDescent="0.35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35">
      <c r="B12" s="3"/>
      <c r="C12" s="4" t="s">
        <v>24</v>
      </c>
      <c r="D12" s="4">
        <f>Dados!$D$3</f>
        <v>8</v>
      </c>
      <c r="E12" s="3"/>
      <c r="F12" s="3"/>
      <c r="G12" s="3"/>
      <c r="H12" s="3"/>
    </row>
    <row r="13" spans="2:8" x14ac:dyDescent="0.35">
      <c r="B13" s="3"/>
      <c r="C13" s="4" t="s">
        <v>25</v>
      </c>
      <c r="D13" s="4">
        <f>Dados!$D$4</f>
        <v>992</v>
      </c>
      <c r="E13" s="3"/>
      <c r="F13" s="3" t="s">
        <v>44</v>
      </c>
      <c r="G13" s="3"/>
      <c r="H13" s="3"/>
    </row>
    <row r="14" spans="2:8" x14ac:dyDescent="0.35">
      <c r="B14" s="3"/>
      <c r="C14" s="3"/>
      <c r="D14" s="4"/>
      <c r="E14" s="3"/>
      <c r="F14" s="3"/>
      <c r="G14" s="3"/>
      <c r="H14" s="3"/>
    </row>
    <row r="15" spans="2:8" x14ac:dyDescent="0.35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35">
      <c r="B16" s="3"/>
      <c r="C16" s="4" t="s">
        <v>24</v>
      </c>
      <c r="D16" s="4">
        <f>Dados!$E$3</f>
        <v>8</v>
      </c>
      <c r="E16" s="3"/>
      <c r="F16" s="3"/>
      <c r="G16" s="3"/>
      <c r="H16" s="3"/>
    </row>
    <row r="17" spans="2:8" x14ac:dyDescent="0.35">
      <c r="B17" s="3"/>
      <c r="C17" s="4" t="s">
        <v>25</v>
      </c>
      <c r="D17" s="4">
        <f>Dados!$E$4</f>
        <v>992</v>
      </c>
      <c r="E17" s="3"/>
      <c r="F17" s="3" t="s">
        <v>45</v>
      </c>
      <c r="G17" s="3"/>
      <c r="H17" s="3"/>
    </row>
    <row r="18" spans="2:8" x14ac:dyDescent="0.35">
      <c r="B18" s="3"/>
      <c r="C18" s="3"/>
      <c r="D18" s="4"/>
      <c r="E18" s="3"/>
      <c r="F18" s="3"/>
      <c r="G18" s="3"/>
      <c r="H18" s="3"/>
    </row>
    <row r="19" spans="2:8" x14ac:dyDescent="0.35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35">
      <c r="B20" s="3"/>
      <c r="C20" s="4" t="s">
        <v>24</v>
      </c>
      <c r="D20" s="4">
        <f>Dados!$F$3</f>
        <v>8</v>
      </c>
      <c r="E20" s="3"/>
      <c r="F20" s="3"/>
      <c r="G20" s="3"/>
      <c r="H20" s="3"/>
    </row>
    <row r="21" spans="2:8" x14ac:dyDescent="0.35">
      <c r="B21" s="3"/>
      <c r="C21" s="4" t="s">
        <v>25</v>
      </c>
      <c r="D21" s="4">
        <f>Dados!$F$4</f>
        <v>992</v>
      </c>
      <c r="E21" s="3"/>
      <c r="F21" s="3" t="s">
        <v>46</v>
      </c>
      <c r="G21" s="3"/>
      <c r="H21" s="3"/>
    </row>
    <row r="22" spans="2:8" x14ac:dyDescent="0.35">
      <c r="B22" s="3"/>
      <c r="C22" s="3"/>
      <c r="D22" s="4"/>
      <c r="E22" s="3"/>
      <c r="F22" s="3"/>
      <c r="G22" s="3"/>
      <c r="H22" s="3"/>
    </row>
    <row r="23" spans="2:8" x14ac:dyDescent="0.35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35">
      <c r="B24" s="3"/>
      <c r="C24" s="4" t="s">
        <v>24</v>
      </c>
      <c r="D24" s="4">
        <f>Dados!$G$3</f>
        <v>8</v>
      </c>
      <c r="E24" s="3"/>
      <c r="F24" s="3"/>
      <c r="G24" s="3"/>
      <c r="H24" s="3"/>
    </row>
    <row r="25" spans="2:8" x14ac:dyDescent="0.35">
      <c r="B25" s="3"/>
      <c r="C25" s="4" t="s">
        <v>25</v>
      </c>
      <c r="D25" s="4">
        <f>Dados!$G$4</f>
        <v>992</v>
      </c>
      <c r="E25" s="3"/>
      <c r="F25" s="3" t="s">
        <v>47</v>
      </c>
      <c r="G25" s="3"/>
      <c r="H25" s="3"/>
    </row>
    <row r="26" spans="2:8" x14ac:dyDescent="0.35">
      <c r="B26" s="3"/>
      <c r="C26" s="3"/>
      <c r="D26" s="4"/>
      <c r="E26" s="3"/>
      <c r="F26" s="3"/>
      <c r="G26" s="3"/>
      <c r="H26" s="3"/>
    </row>
    <row r="27" spans="2:8" x14ac:dyDescent="0.35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35">
      <c r="B28" s="3"/>
      <c r="C28" s="4" t="s">
        <v>24</v>
      </c>
      <c r="D28" s="4">
        <f>Dados!$H$3</f>
        <v>8</v>
      </c>
      <c r="E28" s="3"/>
      <c r="F28" s="3"/>
      <c r="G28" s="3"/>
      <c r="H28" s="3"/>
    </row>
    <row r="29" spans="2:8" x14ac:dyDescent="0.35">
      <c r="B29" s="3"/>
      <c r="C29" s="4" t="s">
        <v>25</v>
      </c>
      <c r="D29" s="4">
        <f>Dados!$H$4</f>
        <v>992</v>
      </c>
      <c r="E29" s="3"/>
      <c r="F29" s="3" t="s">
        <v>48</v>
      </c>
      <c r="G29" s="3"/>
      <c r="H29" s="3"/>
    </row>
    <row r="30" spans="2:8" x14ac:dyDescent="0.35">
      <c r="B30" s="3"/>
      <c r="C30" s="3"/>
      <c r="D30" s="4"/>
      <c r="E30" s="3"/>
      <c r="F30" s="3"/>
      <c r="G30" s="3"/>
      <c r="H30" s="3"/>
    </row>
    <row r="31" spans="2:8" x14ac:dyDescent="0.35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35">
      <c r="B32" s="3"/>
      <c r="C32" s="4" t="s">
        <v>24</v>
      </c>
      <c r="D32" s="4">
        <f>Dados!$I$3</f>
        <v>8</v>
      </c>
      <c r="E32" s="3"/>
      <c r="F32" s="3"/>
      <c r="G32" s="3"/>
      <c r="H32" s="3"/>
    </row>
    <row r="33" spans="2:8" x14ac:dyDescent="0.35">
      <c r="B33" s="3"/>
      <c r="C33" s="4" t="s">
        <v>25</v>
      </c>
      <c r="D33" s="4">
        <f>Dados!$I$4</f>
        <v>992</v>
      </c>
      <c r="E33" s="3"/>
      <c r="F33" s="3" t="s">
        <v>49</v>
      </c>
      <c r="G33" s="3"/>
      <c r="H33" s="3"/>
    </row>
    <row r="34" spans="2:8" x14ac:dyDescent="0.35">
      <c r="B34" s="3"/>
      <c r="C34" s="3"/>
      <c r="D34" s="4"/>
      <c r="E34" s="3"/>
      <c r="F34" s="3"/>
      <c r="G34" s="3"/>
      <c r="H34" s="3"/>
    </row>
    <row r="35" spans="2:8" x14ac:dyDescent="0.35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35">
      <c r="B36" s="3"/>
      <c r="C36" s="4" t="s">
        <v>24</v>
      </c>
      <c r="D36" s="4">
        <f>Dados!$J$3</f>
        <v>6</v>
      </c>
      <c r="E36" s="3"/>
      <c r="F36" s="3"/>
      <c r="G36" s="3"/>
      <c r="H36" s="3"/>
    </row>
    <row r="37" spans="2:8" x14ac:dyDescent="0.35">
      <c r="B37" s="3"/>
      <c r="C37" s="4" t="s">
        <v>25</v>
      </c>
      <c r="D37" s="4">
        <f>Dados!$J$4</f>
        <v>994</v>
      </c>
      <c r="E37" s="3"/>
      <c r="F37" s="3" t="s">
        <v>50</v>
      </c>
      <c r="G37" s="3"/>
      <c r="H37" s="3"/>
    </row>
    <row r="38" spans="2:8" x14ac:dyDescent="0.35">
      <c r="B38" s="3"/>
      <c r="C38" s="3"/>
      <c r="D38" s="4"/>
      <c r="E38" s="3"/>
      <c r="F38" s="3"/>
      <c r="G38" s="3"/>
      <c r="H38" s="3"/>
    </row>
    <row r="39" spans="2:8" x14ac:dyDescent="0.35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35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35">
      <c r="B41" s="3"/>
      <c r="C41" s="4" t="s">
        <v>25</v>
      </c>
      <c r="D41" s="4">
        <f>Dados!$K$4</f>
        <v>995</v>
      </c>
      <c r="E41" s="3"/>
      <c r="F41" s="3" t="s">
        <v>51</v>
      </c>
      <c r="G41" s="3"/>
      <c r="H41" s="3"/>
    </row>
    <row r="42" spans="2:8" x14ac:dyDescent="0.35">
      <c r="B42" s="3"/>
      <c r="C42" s="3"/>
      <c r="D42" s="4"/>
      <c r="E42" s="3"/>
      <c r="F42" s="3"/>
      <c r="G42" s="3"/>
      <c r="H42" s="3"/>
    </row>
    <row r="43" spans="2:8" x14ac:dyDescent="0.35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35">
      <c r="B44" s="3"/>
      <c r="C44" s="4" t="s">
        <v>24</v>
      </c>
      <c r="D44" s="4">
        <f>Dados!$L$3</f>
        <v>4</v>
      </c>
      <c r="E44" s="3"/>
      <c r="F44" s="3"/>
      <c r="G44" s="3"/>
      <c r="H44" s="3"/>
    </row>
    <row r="45" spans="2:8" x14ac:dyDescent="0.35">
      <c r="B45" s="3"/>
      <c r="C45" s="4" t="s">
        <v>25</v>
      </c>
      <c r="D45" s="4">
        <f>Dados!$L$4</f>
        <v>996</v>
      </c>
      <c r="E45" s="3"/>
      <c r="F45" s="3" t="s">
        <v>52</v>
      </c>
      <c r="G45" s="3"/>
      <c r="H45" s="3"/>
    </row>
    <row r="46" spans="2:8" x14ac:dyDescent="0.35">
      <c r="B46" s="3"/>
      <c r="C46" s="3"/>
      <c r="D46" s="4"/>
      <c r="E46" s="3"/>
      <c r="F46" s="3"/>
      <c r="G46" s="3"/>
      <c r="H46" s="3"/>
    </row>
    <row r="47" spans="2:8" x14ac:dyDescent="0.35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35">
      <c r="B48" s="3"/>
      <c r="C48" s="4" t="s">
        <v>24</v>
      </c>
      <c r="D48" s="4">
        <f>Dados!$M$3</f>
        <v>3</v>
      </c>
      <c r="E48" s="3"/>
      <c r="F48" s="3"/>
      <c r="G48" s="3"/>
      <c r="H48" s="3"/>
    </row>
    <row r="49" spans="2:8" x14ac:dyDescent="0.35">
      <c r="B49" s="3"/>
      <c r="C49" s="4" t="s">
        <v>25</v>
      </c>
      <c r="D49" s="4">
        <f>Dados!$M$4</f>
        <v>997</v>
      </c>
      <c r="E49" s="3"/>
      <c r="F49" s="3" t="s">
        <v>53</v>
      </c>
      <c r="G49" s="3"/>
      <c r="H49" s="3"/>
    </row>
    <row r="50" spans="2:8" x14ac:dyDescent="0.35">
      <c r="B50" s="3"/>
      <c r="C50" s="3"/>
      <c r="D50" s="4"/>
      <c r="E50" s="3"/>
      <c r="F50" s="3"/>
      <c r="G50" s="3"/>
      <c r="H50" s="3"/>
    </row>
    <row r="51" spans="2:8" x14ac:dyDescent="0.35">
      <c r="B51" s="3"/>
      <c r="C51" s="3"/>
      <c r="D51" s="4"/>
      <c r="E51" s="3"/>
      <c r="F51" s="3"/>
      <c r="G51" s="3"/>
      <c r="H51" s="3"/>
    </row>
    <row r="52" spans="2:8" x14ac:dyDescent="0.35">
      <c r="B52" s="3"/>
      <c r="C52" s="3"/>
      <c r="D52" s="4"/>
      <c r="E52" s="3"/>
      <c r="F52" s="3"/>
      <c r="G52" s="3"/>
      <c r="H52" s="3"/>
    </row>
    <row r="53" spans="2:8" x14ac:dyDescent="0.35">
      <c r="B53" s="3"/>
      <c r="C53" s="3"/>
      <c r="D53" s="4"/>
      <c r="E53" s="3"/>
      <c r="F53" s="3"/>
      <c r="G53" s="3"/>
      <c r="H53" s="3"/>
    </row>
    <row r="54" spans="2:8" x14ac:dyDescent="0.35">
      <c r="B54" s="3"/>
      <c r="C54" s="3"/>
      <c r="D54" s="4"/>
      <c r="E54" s="3"/>
      <c r="F54" s="3"/>
      <c r="G54" s="3"/>
      <c r="H54" s="3"/>
    </row>
    <row r="55" spans="2:8" x14ac:dyDescent="0.35">
      <c r="B55" s="3"/>
      <c r="C55" s="3"/>
      <c r="D55" s="4"/>
      <c r="E55" s="3"/>
      <c r="F55" s="3"/>
      <c r="G55" s="3"/>
      <c r="H55" s="3"/>
    </row>
    <row r="56" spans="2:8" x14ac:dyDescent="0.35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565150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3</xdr:row>
                    <xdr:rowOff>44450</xdr:rowOff>
                  </from>
                  <to>
                    <xdr:col>10</xdr:col>
                    <xdr:colOff>565150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5</xdr:row>
                    <xdr:rowOff>69850</xdr:rowOff>
                  </from>
                  <to>
                    <xdr:col>10</xdr:col>
                    <xdr:colOff>565150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7</xdr:row>
                    <xdr:rowOff>88900</xdr:rowOff>
                  </from>
                  <to>
                    <xdr:col>10</xdr:col>
                    <xdr:colOff>565150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1</xdr:row>
                    <xdr:rowOff>25400</xdr:rowOff>
                  </from>
                  <to>
                    <xdr:col>13</xdr:col>
                    <xdr:colOff>349250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3</xdr:row>
                    <xdr:rowOff>44450</xdr:rowOff>
                  </from>
                  <to>
                    <xdr:col>13</xdr:col>
                    <xdr:colOff>349250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5</xdr:row>
                    <xdr:rowOff>69850</xdr:rowOff>
                  </from>
                  <to>
                    <xdr:col>13</xdr:col>
                    <xdr:colOff>349250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7</xdr:row>
                    <xdr:rowOff>88900</xdr:rowOff>
                  </from>
                  <to>
                    <xdr:col>13</xdr:col>
                    <xdr:colOff>349250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1</xdr:row>
                    <xdr:rowOff>25400</xdr:rowOff>
                  </from>
                  <to>
                    <xdr:col>16</xdr:col>
                    <xdr:colOff>120650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3</xdr:row>
                    <xdr:rowOff>44450</xdr:rowOff>
                  </from>
                  <to>
                    <xdr:col>16</xdr:col>
                    <xdr:colOff>120650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5</xdr:row>
                    <xdr:rowOff>69850</xdr:rowOff>
                  </from>
                  <to>
                    <xdr:col>16</xdr:col>
                    <xdr:colOff>120650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7</xdr:row>
                    <xdr:rowOff>88900</xdr:rowOff>
                  </from>
                  <to>
                    <xdr:col>16</xdr:col>
                    <xdr:colOff>120650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2" spans="2:5" x14ac:dyDescent="0.35">
      <c r="B2" s="2" t="s">
        <v>58</v>
      </c>
      <c r="C2" s="2" t="s">
        <v>59</v>
      </c>
      <c r="D2" s="6" t="s">
        <v>13</v>
      </c>
      <c r="E2" s="2" t="s">
        <v>25</v>
      </c>
    </row>
    <row r="3" spans="2:5" x14ac:dyDescent="0.35">
      <c r="B3" s="2" t="s">
        <v>42</v>
      </c>
      <c r="C3" s="2" t="s">
        <v>26</v>
      </c>
      <c r="D3" s="7">
        <f>Dados!$B$3</f>
        <v>8</v>
      </c>
      <c r="E3" s="7">
        <f>Dados!$B$4</f>
        <v>992</v>
      </c>
    </row>
    <row r="4" spans="2:5" x14ac:dyDescent="0.35">
      <c r="B4" s="2" t="s">
        <v>43</v>
      </c>
      <c r="C4" s="2" t="s">
        <v>28</v>
      </c>
      <c r="D4" s="7">
        <f>Dados!$C$3</f>
        <v>8</v>
      </c>
      <c r="E4" s="7">
        <f>Dados!$C$4</f>
        <v>992</v>
      </c>
    </row>
    <row r="5" spans="2:5" x14ac:dyDescent="0.35">
      <c r="B5" s="2" t="s">
        <v>44</v>
      </c>
      <c r="C5" s="2" t="s">
        <v>27</v>
      </c>
      <c r="D5" s="7">
        <f>Dados!$D$3</f>
        <v>8</v>
      </c>
      <c r="E5" s="7">
        <f>Dados!$D$4</f>
        <v>992</v>
      </c>
    </row>
    <row r="6" spans="2:5" x14ac:dyDescent="0.35">
      <c r="B6" s="2" t="s">
        <v>45</v>
      </c>
      <c r="C6" s="2" t="s">
        <v>29</v>
      </c>
      <c r="D6" s="7">
        <f>Dados!$E$3</f>
        <v>8</v>
      </c>
      <c r="E6" s="7">
        <f>Dados!$E$4</f>
        <v>992</v>
      </c>
    </row>
    <row r="7" spans="2:5" x14ac:dyDescent="0.35">
      <c r="B7" s="2" t="s">
        <v>46</v>
      </c>
      <c r="C7" s="2" t="s">
        <v>30</v>
      </c>
      <c r="D7" s="7">
        <f>Dados!$F$3</f>
        <v>8</v>
      </c>
      <c r="E7" s="7">
        <f>Dados!$F$4</f>
        <v>992</v>
      </c>
    </row>
    <row r="8" spans="2:5" x14ac:dyDescent="0.35">
      <c r="B8" s="2" t="s">
        <v>47</v>
      </c>
      <c r="C8" s="2" t="s">
        <v>31</v>
      </c>
      <c r="D8" s="7">
        <f>Dados!$G$3</f>
        <v>8</v>
      </c>
      <c r="E8" s="7">
        <f>Dados!$G$4</f>
        <v>992</v>
      </c>
    </row>
    <row r="9" spans="2:5" x14ac:dyDescent="0.35">
      <c r="B9" s="2" t="s">
        <v>48</v>
      </c>
      <c r="C9" s="2" t="s">
        <v>32</v>
      </c>
      <c r="D9" s="7">
        <f>Dados!$H$3</f>
        <v>8</v>
      </c>
      <c r="E9" s="7">
        <f>Dados!$H$4</f>
        <v>992</v>
      </c>
    </row>
    <row r="10" spans="2:5" x14ac:dyDescent="0.35">
      <c r="B10" s="2" t="s">
        <v>49</v>
      </c>
      <c r="C10" s="2" t="s">
        <v>33</v>
      </c>
      <c r="D10" s="7">
        <f>Dados!$I$3</f>
        <v>8</v>
      </c>
      <c r="E10" s="7">
        <f>Dados!$I$4</f>
        <v>992</v>
      </c>
    </row>
    <row r="11" spans="2:5" x14ac:dyDescent="0.35">
      <c r="B11" s="2" t="s">
        <v>50</v>
      </c>
      <c r="C11" s="2" t="s">
        <v>34</v>
      </c>
      <c r="D11" s="7">
        <f>Dados!$J$3</f>
        <v>6</v>
      </c>
      <c r="E11" s="7">
        <f>Dados!$J$4</f>
        <v>994</v>
      </c>
    </row>
    <row r="12" spans="2:5" x14ac:dyDescent="0.35">
      <c r="B12" s="2" t="s">
        <v>51</v>
      </c>
      <c r="C12" s="2" t="s">
        <v>35</v>
      </c>
      <c r="D12" s="7">
        <f>Dados!$K$3</f>
        <v>5</v>
      </c>
      <c r="E12" s="7">
        <f>Dados!$K$4</f>
        <v>995</v>
      </c>
    </row>
    <row r="13" spans="2:5" x14ac:dyDescent="0.35">
      <c r="B13" s="2" t="s">
        <v>52</v>
      </c>
      <c r="C13" s="2" t="s">
        <v>38</v>
      </c>
      <c r="D13" s="7">
        <f>Dados!$L$3</f>
        <v>4</v>
      </c>
      <c r="E13" s="7">
        <f>Dados!$L$4</f>
        <v>996</v>
      </c>
    </row>
    <row r="14" spans="2:5" x14ac:dyDescent="0.35">
      <c r="B14" s="2" t="s">
        <v>53</v>
      </c>
      <c r="C14" s="2" t="s">
        <v>12</v>
      </c>
      <c r="D14" s="7">
        <f>Dados!$M$3</f>
        <v>3</v>
      </c>
      <c r="E14" s="7">
        <f>Dados!$M$4</f>
        <v>997</v>
      </c>
    </row>
    <row r="15" spans="2:5" x14ac:dyDescent="0.35">
      <c r="C15" s="6"/>
    </row>
    <row r="17" spans="3:3" x14ac:dyDescent="0.35">
      <c r="C17" s="6"/>
    </row>
    <row r="18" spans="3:3" x14ac:dyDescent="0.35">
      <c r="C18" s="6"/>
    </row>
    <row r="20" spans="3:3" x14ac:dyDescent="0.35">
      <c r="C20" s="6"/>
    </row>
    <row r="21" spans="3:3" x14ac:dyDescent="0.35">
      <c r="C21" s="6"/>
    </row>
    <row r="23" spans="3:3" x14ac:dyDescent="0.35">
      <c r="C23" s="6"/>
    </row>
    <row r="24" spans="3:3" x14ac:dyDescent="0.35">
      <c r="C24" s="6"/>
    </row>
    <row r="26" spans="3:3" x14ac:dyDescent="0.35">
      <c r="C26" s="6"/>
    </row>
    <row r="27" spans="3:3" x14ac:dyDescent="0.35">
      <c r="C27" s="6"/>
    </row>
    <row r="29" spans="3:3" x14ac:dyDescent="0.35">
      <c r="C29" s="6"/>
    </row>
    <row r="30" spans="3:3" x14ac:dyDescent="0.35">
      <c r="C30" s="6"/>
    </row>
    <row r="32" spans="3:3" x14ac:dyDescent="0.35">
      <c r="C32" s="6"/>
    </row>
    <row r="33" spans="2:5" x14ac:dyDescent="0.35">
      <c r="C33" s="6"/>
    </row>
    <row r="35" spans="2:5" x14ac:dyDescent="0.35">
      <c r="C35" s="6"/>
    </row>
    <row r="36" spans="2:5" x14ac:dyDescent="0.35">
      <c r="C36" s="6"/>
    </row>
    <row r="38" spans="2:5" x14ac:dyDescent="0.35">
      <c r="C38" s="6"/>
    </row>
    <row r="39" spans="2:5" x14ac:dyDescent="0.35">
      <c r="C39" s="6"/>
    </row>
    <row r="41" spans="2:5" x14ac:dyDescent="0.35">
      <c r="C41" s="6"/>
    </row>
    <row r="42" spans="2:5" x14ac:dyDescent="0.35">
      <c r="C42" s="6"/>
    </row>
    <row r="44" spans="2:5" x14ac:dyDescent="0.35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35">
      <c r="C45" s="6"/>
    </row>
    <row r="46" spans="2:5" x14ac:dyDescent="0.35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10"/>
  <sheetViews>
    <sheetView tabSelected="1" workbookViewId="0">
      <pane ySplit="6" topLeftCell="A7" activePane="bottomLeft" state="frozen"/>
      <selection pane="bottomLeft" activeCell="B4" sqref="B4"/>
    </sheetView>
  </sheetViews>
  <sheetFormatPr defaultRowHeight="14.5" x14ac:dyDescent="0.35"/>
  <cols>
    <col min="1" max="1" width="15.81640625" customWidth="1"/>
    <col min="2" max="2" width="20.08984375" bestFit="1" customWidth="1"/>
    <col min="3" max="3" width="14.6328125" bestFit="1" customWidth="1"/>
    <col min="4" max="4" width="11.26953125" style="1" bestFit="1" customWidth="1"/>
    <col min="5" max="5" width="7.6328125" style="1" bestFit="1" customWidth="1"/>
    <col min="6" max="6" width="5.1796875" style="1" bestFit="1" customWidth="1"/>
    <col min="7" max="7" width="9.36328125" style="1" bestFit="1" customWidth="1"/>
    <col min="8" max="8" width="7.1796875" style="1" bestFit="1" customWidth="1"/>
    <col min="9" max="9" width="11.36328125" style="1" bestFit="1" customWidth="1"/>
    <col min="10" max="10" width="14.26953125" style="1" bestFit="1" customWidth="1"/>
    <col min="11" max="11" width="11.26953125" style="1" bestFit="1" customWidth="1"/>
    <col min="12" max="12" width="10.6328125" style="1" bestFit="1" customWidth="1"/>
    <col min="13" max="13" width="11.6328125" style="1" bestFit="1" customWidth="1"/>
  </cols>
  <sheetData>
    <row r="1" spans="1:32" s="10" customFormat="1" ht="101.75" customHeight="1" x14ac:dyDescent="0.35">
      <c r="C1" s="15" t="s">
        <v>65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35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35">
      <c r="A3" s="13" t="s">
        <v>24</v>
      </c>
      <c r="B3" s="13">
        <f>COUNTIF(A7:A1006,"&lt;&gt;")</f>
        <v>8</v>
      </c>
      <c r="C3" s="13">
        <f>COUNTIF(C7:C1006,"&lt;&gt;")</f>
        <v>8</v>
      </c>
      <c r="D3" s="14">
        <f>COUNTIF(D7:D1006,"&lt;&gt;")</f>
        <v>8</v>
      </c>
      <c r="E3" s="14">
        <f t="shared" ref="E3:M3" si="0">COUNTIF(E7:E1006,"=ok")</f>
        <v>8</v>
      </c>
      <c r="F3" s="14">
        <f t="shared" si="0"/>
        <v>8</v>
      </c>
      <c r="G3" s="14">
        <f t="shared" si="0"/>
        <v>8</v>
      </c>
      <c r="H3" s="14">
        <f t="shared" si="0"/>
        <v>8</v>
      </c>
      <c r="I3" s="14">
        <f t="shared" si="0"/>
        <v>8</v>
      </c>
      <c r="J3" s="14">
        <f t="shared" si="0"/>
        <v>6</v>
      </c>
      <c r="K3" s="14">
        <f t="shared" si="0"/>
        <v>5</v>
      </c>
      <c r="L3" s="14">
        <f t="shared" si="0"/>
        <v>4</v>
      </c>
      <c r="M3" s="14">
        <f t="shared" si="0"/>
        <v>3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35">
      <c r="A4" s="13" t="s">
        <v>25</v>
      </c>
      <c r="B4" s="13">
        <f>COUNTIF(A7:A1006,"")</f>
        <v>992</v>
      </c>
      <c r="C4" s="13">
        <f>COUNTIF(B7:B1006,"")</f>
        <v>992</v>
      </c>
      <c r="D4" s="14">
        <f>COUNTIF(C7:C1006,"")</f>
        <v>992</v>
      </c>
      <c r="E4" s="14">
        <f t="shared" ref="E4:M4" si="1">COUNTIF(E7:E1006,"&lt;&gt;ok")</f>
        <v>992</v>
      </c>
      <c r="F4" s="14">
        <f t="shared" si="1"/>
        <v>992</v>
      </c>
      <c r="G4" s="14">
        <f t="shared" si="1"/>
        <v>992</v>
      </c>
      <c r="H4" s="14">
        <f t="shared" si="1"/>
        <v>992</v>
      </c>
      <c r="I4" s="14">
        <f t="shared" si="1"/>
        <v>992</v>
      </c>
      <c r="J4" s="14">
        <f t="shared" si="1"/>
        <v>994</v>
      </c>
      <c r="K4" s="14">
        <f t="shared" si="1"/>
        <v>995</v>
      </c>
      <c r="L4" s="14">
        <f t="shared" si="1"/>
        <v>996</v>
      </c>
      <c r="M4" s="14">
        <f t="shared" si="1"/>
        <v>997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s="10" customFormat="1" x14ac:dyDescent="0.35">
      <c r="D5" s="11"/>
      <c r="E5" s="11"/>
      <c r="F5" s="11"/>
      <c r="G5" s="11"/>
      <c r="H5" s="11"/>
      <c r="I5" s="11"/>
      <c r="J5" s="11"/>
      <c r="K5" s="11"/>
      <c r="L5" s="11"/>
      <c r="M5" s="11"/>
    </row>
    <row r="6" spans="1:32" s="8" customFormat="1" ht="18.5" x14ac:dyDescent="0.45">
      <c r="A6" s="8" t="s">
        <v>0</v>
      </c>
      <c r="B6" s="8" t="s">
        <v>1</v>
      </c>
      <c r="C6" s="8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9" t="s">
        <v>7</v>
      </c>
      <c r="I6" s="9" t="s">
        <v>8</v>
      </c>
      <c r="J6" s="9" t="s">
        <v>9</v>
      </c>
      <c r="K6" s="9" t="s">
        <v>10</v>
      </c>
      <c r="L6" s="9" t="s">
        <v>11</v>
      </c>
      <c r="M6" s="9" t="s">
        <v>12</v>
      </c>
    </row>
    <row r="7" spans="1:32" x14ac:dyDescent="0.35">
      <c r="A7" t="s">
        <v>67</v>
      </c>
      <c r="B7" t="s">
        <v>54</v>
      </c>
      <c r="C7" t="s">
        <v>55</v>
      </c>
      <c r="D7">
        <v>5</v>
      </c>
      <c r="E7" s="1" t="s">
        <v>13</v>
      </c>
      <c r="F7" s="1" t="s">
        <v>13</v>
      </c>
      <c r="G7" s="1" t="s">
        <v>13</v>
      </c>
      <c r="H7" s="1" t="s">
        <v>13</v>
      </c>
      <c r="I7" s="1" t="s">
        <v>13</v>
      </c>
      <c r="J7" s="1" t="s">
        <v>13</v>
      </c>
      <c r="K7" s="1" t="s">
        <v>13</v>
      </c>
      <c r="L7" s="1" t="s">
        <v>13</v>
      </c>
      <c r="M7" s="1" t="s">
        <v>13</v>
      </c>
      <c r="N7" s="1"/>
      <c r="O7" s="1"/>
    </row>
    <row r="8" spans="1:32" x14ac:dyDescent="0.35">
      <c r="A8" t="s">
        <v>68</v>
      </c>
      <c r="B8" t="s">
        <v>54</v>
      </c>
      <c r="C8" t="s">
        <v>55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35">
      <c r="A9" t="s">
        <v>69</v>
      </c>
      <c r="B9" t="s">
        <v>54</v>
      </c>
      <c r="C9" t="s">
        <v>55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35">
      <c r="A10" t="s">
        <v>70</v>
      </c>
      <c r="B10" t="s">
        <v>60</v>
      </c>
      <c r="C10" t="s">
        <v>63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N10" s="1"/>
      <c r="O10" s="1"/>
    </row>
    <row r="11" spans="1:32" x14ac:dyDescent="0.35">
      <c r="A11" t="s">
        <v>71</v>
      </c>
      <c r="B11" t="s">
        <v>61</v>
      </c>
      <c r="C11" t="s">
        <v>63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N11" s="1"/>
      <c r="O11" s="1"/>
    </row>
    <row r="12" spans="1:32" x14ac:dyDescent="0.35">
      <c r="A12" t="s">
        <v>56</v>
      </c>
      <c r="B12" t="s">
        <v>62</v>
      </c>
      <c r="C12" t="s">
        <v>63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N12" s="1"/>
      <c r="O12" s="1"/>
    </row>
    <row r="13" spans="1:32" x14ac:dyDescent="0.35">
      <c r="A13" t="s">
        <v>57</v>
      </c>
      <c r="B13" t="s">
        <v>54</v>
      </c>
      <c r="C13" t="s">
        <v>63</v>
      </c>
      <c r="D13">
        <v>5</v>
      </c>
      <c r="E13" s="1" t="s">
        <v>13</v>
      </c>
      <c r="F13" s="1" t="s">
        <v>13</v>
      </c>
      <c r="G13" s="1" t="s">
        <v>13</v>
      </c>
      <c r="H13" s="1" t="s">
        <v>13</v>
      </c>
      <c r="I13" s="1" t="s">
        <v>13</v>
      </c>
      <c r="N13" s="1"/>
      <c r="O13" s="1"/>
    </row>
    <row r="14" spans="1:32" x14ac:dyDescent="0.35">
      <c r="A14" t="s">
        <v>64</v>
      </c>
      <c r="B14" t="s">
        <v>61</v>
      </c>
      <c r="C14" t="s">
        <v>63</v>
      </c>
      <c r="D14">
        <v>5</v>
      </c>
      <c r="E14" s="1" t="s">
        <v>13</v>
      </c>
      <c r="F14" s="1" t="s">
        <v>13</v>
      </c>
      <c r="G14" s="1" t="s">
        <v>13</v>
      </c>
      <c r="H14" s="1" t="s">
        <v>13</v>
      </c>
      <c r="I14" s="1" t="s">
        <v>13</v>
      </c>
      <c r="N14" s="1"/>
      <c r="O14" s="1"/>
    </row>
    <row r="15" spans="1:32" x14ac:dyDescent="0.35">
      <c r="D15"/>
      <c r="N15" s="1"/>
      <c r="O15" s="1"/>
    </row>
    <row r="16" spans="1:32" x14ac:dyDescent="0.35">
      <c r="D16"/>
      <c r="N16" s="1"/>
      <c r="O16" s="1"/>
    </row>
    <row r="17" spans="4:15" x14ac:dyDescent="0.35">
      <c r="D17"/>
      <c r="N17" s="1"/>
      <c r="O17" s="1"/>
    </row>
    <row r="18" spans="4:15" x14ac:dyDescent="0.35">
      <c r="D18"/>
      <c r="N18" s="1"/>
      <c r="O18" s="1"/>
    </row>
    <row r="19" spans="4:15" x14ac:dyDescent="0.35">
      <c r="D19"/>
      <c r="N19" s="1"/>
      <c r="O19" s="1"/>
    </row>
    <row r="20" spans="4:15" x14ac:dyDescent="0.35">
      <c r="D20"/>
      <c r="N20" s="1"/>
      <c r="O20" s="1"/>
    </row>
    <row r="21" spans="4:15" x14ac:dyDescent="0.35">
      <c r="D21"/>
      <c r="N21" s="1"/>
      <c r="O21" s="1"/>
    </row>
    <row r="22" spans="4:15" x14ac:dyDescent="0.35">
      <c r="D22"/>
      <c r="N22" s="1"/>
      <c r="O22" s="1"/>
    </row>
    <row r="23" spans="4:15" x14ac:dyDescent="0.35">
      <c r="D23"/>
      <c r="N23" s="1"/>
      <c r="O23" s="1"/>
    </row>
    <row r="24" spans="4:15" x14ac:dyDescent="0.35">
      <c r="D24"/>
      <c r="N24" s="1"/>
      <c r="O24" s="1"/>
    </row>
    <row r="25" spans="4:15" x14ac:dyDescent="0.35">
      <c r="D25"/>
      <c r="N25" s="1"/>
      <c r="O25" s="1"/>
    </row>
    <row r="26" spans="4:15" x14ac:dyDescent="0.35">
      <c r="D26"/>
      <c r="N26" s="1"/>
      <c r="O26" s="1"/>
    </row>
    <row r="27" spans="4:15" x14ac:dyDescent="0.35">
      <c r="D27"/>
      <c r="N27" s="1"/>
      <c r="O27" s="1"/>
    </row>
    <row r="28" spans="4:15" x14ac:dyDescent="0.35">
      <c r="D28"/>
      <c r="N28" s="1"/>
      <c r="O28" s="1"/>
    </row>
    <row r="29" spans="4:15" x14ac:dyDescent="0.35">
      <c r="D29"/>
      <c r="N29" s="1"/>
      <c r="O29" s="1"/>
    </row>
    <row r="30" spans="4:15" x14ac:dyDescent="0.35">
      <c r="D30"/>
      <c r="N30" s="1"/>
      <c r="O30" s="1"/>
    </row>
    <row r="31" spans="4:15" x14ac:dyDescent="0.35">
      <c r="D31"/>
      <c r="N31" s="1"/>
      <c r="O31" s="1"/>
    </row>
    <row r="32" spans="4:15" x14ac:dyDescent="0.35">
      <c r="D32"/>
      <c r="N32" s="1"/>
      <c r="O32" s="1"/>
    </row>
    <row r="33" spans="5:15" customFormat="1" x14ac:dyDescent="0.35"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5:15" customFormat="1" x14ac:dyDescent="0.35"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5:15" customFormat="1" x14ac:dyDescent="0.35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5:15" customFormat="1" x14ac:dyDescent="0.35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5:15" customFormat="1" x14ac:dyDescent="0.35"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5:15" customFormat="1" x14ac:dyDescent="0.35"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5:15" customFormat="1" x14ac:dyDescent="0.35"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5:15" customFormat="1" x14ac:dyDescent="0.35"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5:15" customFormat="1" x14ac:dyDescent="0.35"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5:15" customFormat="1" x14ac:dyDescent="0.35"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5:15" customFormat="1" x14ac:dyDescent="0.35"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5:15" customFormat="1" x14ac:dyDescent="0.35"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5:15" customFormat="1" x14ac:dyDescent="0.35"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5:15" customFormat="1" x14ac:dyDescent="0.35"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5:15" customFormat="1" x14ac:dyDescent="0.35"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5:15" customFormat="1" x14ac:dyDescent="0.35"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5:15" customFormat="1" x14ac:dyDescent="0.35"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5:15" customFormat="1" x14ac:dyDescent="0.35"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5:15" customFormat="1" x14ac:dyDescent="0.3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5:15" customFormat="1" x14ac:dyDescent="0.35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5:15" customFormat="1" x14ac:dyDescent="0.35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5:15" customFormat="1" x14ac:dyDescent="0.35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5:15" customFormat="1" x14ac:dyDescent="0.35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5:15" customFormat="1" x14ac:dyDescent="0.3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5:15" customFormat="1" x14ac:dyDescent="0.3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5:15" customFormat="1" x14ac:dyDescent="0.3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5:15" customFormat="1" x14ac:dyDescent="0.3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5:15" customFormat="1" x14ac:dyDescent="0.3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5:15" customFormat="1" x14ac:dyDescent="0.3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5:15" customFormat="1" x14ac:dyDescent="0.3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5:15" customFormat="1" x14ac:dyDescent="0.3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5:15" customFormat="1" x14ac:dyDescent="0.3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5:15" customFormat="1" x14ac:dyDescent="0.3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5:15" customFormat="1" x14ac:dyDescent="0.35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5:15" customFormat="1" x14ac:dyDescent="0.35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5:15" customFormat="1" x14ac:dyDescent="0.3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5:15" customFormat="1" x14ac:dyDescent="0.3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5:15" customFormat="1" x14ac:dyDescent="0.35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5:15" customFormat="1" x14ac:dyDescent="0.3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5:15" customFormat="1" x14ac:dyDescent="0.3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5:15" customFormat="1" x14ac:dyDescent="0.35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5:15" customFormat="1" x14ac:dyDescent="0.3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5:15" customFormat="1" x14ac:dyDescent="0.3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5:15" customFormat="1" x14ac:dyDescent="0.35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5:15" customFormat="1" x14ac:dyDescent="0.35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5:15" customFormat="1" x14ac:dyDescent="0.35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5:15" customFormat="1" x14ac:dyDescent="0.35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5:15" customFormat="1" x14ac:dyDescent="0.3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5:15" customFormat="1" x14ac:dyDescent="0.3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5:15" customFormat="1" x14ac:dyDescent="0.3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5:15" customFormat="1" x14ac:dyDescent="0.35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5:15" customFormat="1" x14ac:dyDescent="0.35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5:15" customFormat="1" x14ac:dyDescent="0.35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5:15" customFormat="1" x14ac:dyDescent="0.3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5:15" customFormat="1" x14ac:dyDescent="0.3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5:15" customFormat="1" x14ac:dyDescent="0.35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5:15" customFormat="1" x14ac:dyDescent="0.35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5:15" customFormat="1" x14ac:dyDescent="0.35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5:15" customFormat="1" x14ac:dyDescent="0.3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5:15" customFormat="1" x14ac:dyDescent="0.3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5:15" customFormat="1" x14ac:dyDescent="0.3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5:15" customFormat="1" x14ac:dyDescent="0.35"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5:15" customFormat="1" x14ac:dyDescent="0.35"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5:15" customFormat="1" x14ac:dyDescent="0.35"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5:15" customFormat="1" x14ac:dyDescent="0.35"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5:15" customFormat="1" x14ac:dyDescent="0.35"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5:15" customFormat="1" x14ac:dyDescent="0.3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5:15" customFormat="1" x14ac:dyDescent="0.35"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5:15" customFormat="1" x14ac:dyDescent="0.3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5:15" customFormat="1" x14ac:dyDescent="0.3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5:15" customFormat="1" x14ac:dyDescent="0.35"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5:15" customFormat="1" x14ac:dyDescent="0.35"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5:15" customFormat="1" x14ac:dyDescent="0.35"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5:15" customFormat="1" x14ac:dyDescent="0.35"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5:15" customFormat="1" x14ac:dyDescent="0.35"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5:15" customFormat="1" x14ac:dyDescent="0.35"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5:15" customFormat="1" x14ac:dyDescent="0.35"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5:15" customFormat="1" x14ac:dyDescent="0.35"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5:15" customFormat="1" x14ac:dyDescent="0.3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5:15" customFormat="1" x14ac:dyDescent="0.3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5:15" customFormat="1" x14ac:dyDescent="0.3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5:15" customFormat="1" x14ac:dyDescent="0.3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5:15" customFormat="1" x14ac:dyDescent="0.35"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5:15" customFormat="1" x14ac:dyDescent="0.35"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5:15" customFormat="1" x14ac:dyDescent="0.35"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5:15" customFormat="1" x14ac:dyDescent="0.35"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5:15" customFormat="1" x14ac:dyDescent="0.35"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5:15" customFormat="1" x14ac:dyDescent="0.35"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5:15" customFormat="1" x14ac:dyDescent="0.3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5:15" customFormat="1" x14ac:dyDescent="0.3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5:15" customFormat="1" x14ac:dyDescent="0.3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5:15" customFormat="1" x14ac:dyDescent="0.3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5:15" customFormat="1" x14ac:dyDescent="0.35"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5:15" customFormat="1" x14ac:dyDescent="0.35"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5:15" customFormat="1" x14ac:dyDescent="0.35"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5:15" customFormat="1" x14ac:dyDescent="0.35"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5:15" customFormat="1" x14ac:dyDescent="0.35"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5:15" customFormat="1" x14ac:dyDescent="0.35"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5:15" customFormat="1" x14ac:dyDescent="0.35"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5:15" customFormat="1" x14ac:dyDescent="0.3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5:15" customFormat="1" x14ac:dyDescent="0.3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5:15" customFormat="1" x14ac:dyDescent="0.3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5:15" customFormat="1" x14ac:dyDescent="0.35"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5:15" customFormat="1" x14ac:dyDescent="0.35"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5:15" customFormat="1" x14ac:dyDescent="0.35"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5:15" customFormat="1" x14ac:dyDescent="0.35"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5:15" customFormat="1" x14ac:dyDescent="0.35"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5:15" customFormat="1" x14ac:dyDescent="0.35"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5:15" customFormat="1" x14ac:dyDescent="0.35"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5:15" customFormat="1" x14ac:dyDescent="0.35"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5:15" customFormat="1" x14ac:dyDescent="0.3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5:15" customFormat="1" x14ac:dyDescent="0.3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5:15" customFormat="1" x14ac:dyDescent="0.35"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5:15" customFormat="1" x14ac:dyDescent="0.35"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5:15" customFormat="1" x14ac:dyDescent="0.35"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5:15" customFormat="1" x14ac:dyDescent="0.35"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5:15" customFormat="1" x14ac:dyDescent="0.35"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5:15" customFormat="1" x14ac:dyDescent="0.35"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5:15" customFormat="1" x14ac:dyDescent="0.35"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5:15" customFormat="1" x14ac:dyDescent="0.35"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5:15" customFormat="1" x14ac:dyDescent="0.3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5:15" customFormat="1" x14ac:dyDescent="0.3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5:15" customFormat="1" x14ac:dyDescent="0.35"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5:15" customFormat="1" x14ac:dyDescent="0.35"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5:15" customFormat="1" x14ac:dyDescent="0.35"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5:15" customFormat="1" x14ac:dyDescent="0.35"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5:15" customFormat="1" x14ac:dyDescent="0.35"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5:15" customFormat="1" x14ac:dyDescent="0.35"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5:15" customFormat="1" x14ac:dyDescent="0.35"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5:15" customFormat="1" x14ac:dyDescent="0.35"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5:15" customFormat="1" x14ac:dyDescent="0.3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5:15" customFormat="1" x14ac:dyDescent="0.3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5:15" customFormat="1" x14ac:dyDescent="0.35"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5:15" customFormat="1" x14ac:dyDescent="0.35"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5:15" customFormat="1" x14ac:dyDescent="0.35"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5:15" customFormat="1" x14ac:dyDescent="0.35"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5:15" customFormat="1" x14ac:dyDescent="0.35"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5:15" customFormat="1" x14ac:dyDescent="0.35"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5:15" customFormat="1" x14ac:dyDescent="0.35"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5:15" customFormat="1" x14ac:dyDescent="0.35"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5:15" customFormat="1" x14ac:dyDescent="0.3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5:15" customFormat="1" x14ac:dyDescent="0.3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5:15" customFormat="1" x14ac:dyDescent="0.35"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5:15" customFormat="1" x14ac:dyDescent="0.35"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5:15" customFormat="1" x14ac:dyDescent="0.35"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5:15" customFormat="1" x14ac:dyDescent="0.35"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5:15" customFormat="1" x14ac:dyDescent="0.35"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5:15" customFormat="1" x14ac:dyDescent="0.35"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5:15" customFormat="1" x14ac:dyDescent="0.35"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5:15" customFormat="1" x14ac:dyDescent="0.35"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5:15" customFormat="1" x14ac:dyDescent="0.35"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5:15" customFormat="1" x14ac:dyDescent="0.35"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5:15" customFormat="1" x14ac:dyDescent="0.35"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5:15" customFormat="1" x14ac:dyDescent="0.35"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5:15" customFormat="1" x14ac:dyDescent="0.35"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5:15" customFormat="1" x14ac:dyDescent="0.35"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5:15" customFormat="1" x14ac:dyDescent="0.35"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5:15" customFormat="1" x14ac:dyDescent="0.35"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5:15" customFormat="1" x14ac:dyDescent="0.35"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5:15" customFormat="1" x14ac:dyDescent="0.35"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5:15" customFormat="1" x14ac:dyDescent="0.35"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5:15" customFormat="1" x14ac:dyDescent="0.35"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5:15" customFormat="1" x14ac:dyDescent="0.35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5:15" customFormat="1" x14ac:dyDescent="0.35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5:15" customFormat="1" x14ac:dyDescent="0.35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5:15" customFormat="1" x14ac:dyDescent="0.35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5:15" customFormat="1" x14ac:dyDescent="0.35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5:15" customFormat="1" x14ac:dyDescent="0.35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5:15" customFormat="1" x14ac:dyDescent="0.35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5:15" customFormat="1" x14ac:dyDescent="0.35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5:15" customFormat="1" x14ac:dyDescent="0.35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5:15" customFormat="1" x14ac:dyDescent="0.35"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5:15" customFormat="1" x14ac:dyDescent="0.35"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5:15" customFormat="1" x14ac:dyDescent="0.35"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5:15" customFormat="1" x14ac:dyDescent="0.35"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5:15" customFormat="1" x14ac:dyDescent="0.35"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5:15" customFormat="1" x14ac:dyDescent="0.35"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5:15" customFormat="1" x14ac:dyDescent="0.35"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5:15" customFormat="1" x14ac:dyDescent="0.35"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5:15" customFormat="1" x14ac:dyDescent="0.35"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5:15" customFormat="1" x14ac:dyDescent="0.35"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5:15" customFormat="1" x14ac:dyDescent="0.35"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5:15" customFormat="1" x14ac:dyDescent="0.35"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5:15" customFormat="1" x14ac:dyDescent="0.35"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5:15" customFormat="1" x14ac:dyDescent="0.35"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5:15" customFormat="1" x14ac:dyDescent="0.35"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5:15" customFormat="1" x14ac:dyDescent="0.35"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5:15" customFormat="1" x14ac:dyDescent="0.35"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5:15" customFormat="1" x14ac:dyDescent="0.35"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5:15" customFormat="1" x14ac:dyDescent="0.35"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5:15" customFormat="1" x14ac:dyDescent="0.35"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5:15" customFormat="1" x14ac:dyDescent="0.35"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5:15" customFormat="1" x14ac:dyDescent="0.35"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5:15" customFormat="1" x14ac:dyDescent="0.35"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5:15" customFormat="1" x14ac:dyDescent="0.35"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5:15" customFormat="1" x14ac:dyDescent="0.35"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5:15" customFormat="1" x14ac:dyDescent="0.35"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5:15" customFormat="1" x14ac:dyDescent="0.35"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5:15" customFormat="1" x14ac:dyDescent="0.35"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5:15" customFormat="1" x14ac:dyDescent="0.35"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5:15" customFormat="1" x14ac:dyDescent="0.35"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5:15" customFormat="1" x14ac:dyDescent="0.35"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5:15" customFormat="1" x14ac:dyDescent="0.35"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5:15" customFormat="1" x14ac:dyDescent="0.35"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5:15" customFormat="1" x14ac:dyDescent="0.35"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5:15" customFormat="1" x14ac:dyDescent="0.35"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5:15" customFormat="1" x14ac:dyDescent="0.35"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5:15" customFormat="1" x14ac:dyDescent="0.35"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5:15" customFormat="1" x14ac:dyDescent="0.35"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5:15" customFormat="1" x14ac:dyDescent="0.35"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5:15" customFormat="1" x14ac:dyDescent="0.35"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5:15" customFormat="1" x14ac:dyDescent="0.35"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5:15" customFormat="1" x14ac:dyDescent="0.35"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5:15" customFormat="1" x14ac:dyDescent="0.35"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5:15" customFormat="1" x14ac:dyDescent="0.35"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5:15" customFormat="1" x14ac:dyDescent="0.35"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5:15" customFormat="1" x14ac:dyDescent="0.35"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5:15" customFormat="1" x14ac:dyDescent="0.35"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5:15" customFormat="1" x14ac:dyDescent="0.35"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5:15" customFormat="1" x14ac:dyDescent="0.35"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5:15" customFormat="1" x14ac:dyDescent="0.35"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5:15" customFormat="1" x14ac:dyDescent="0.35"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5:15" customFormat="1" x14ac:dyDescent="0.35"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5:15" customFormat="1" x14ac:dyDescent="0.35"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5:15" customFormat="1" x14ac:dyDescent="0.35"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5:15" customFormat="1" x14ac:dyDescent="0.35"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5:15" customFormat="1" x14ac:dyDescent="0.35"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5:15" customFormat="1" x14ac:dyDescent="0.35"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5:15" customFormat="1" x14ac:dyDescent="0.35"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5:15" customFormat="1" x14ac:dyDescent="0.35"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5:15" customFormat="1" x14ac:dyDescent="0.35"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5:15" customFormat="1" x14ac:dyDescent="0.35"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5:15" customFormat="1" x14ac:dyDescent="0.35"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5:15" customFormat="1" x14ac:dyDescent="0.35"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5:15" customFormat="1" x14ac:dyDescent="0.35"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5:15" customFormat="1" x14ac:dyDescent="0.35"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5:15" customFormat="1" x14ac:dyDescent="0.35"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5:15" customFormat="1" x14ac:dyDescent="0.35"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5:15" customFormat="1" x14ac:dyDescent="0.35"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5:15" customFormat="1" x14ac:dyDescent="0.35"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5:15" customFormat="1" x14ac:dyDescent="0.35"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5:15" customFormat="1" x14ac:dyDescent="0.35"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5:15" customFormat="1" x14ac:dyDescent="0.35"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5:15" customFormat="1" x14ac:dyDescent="0.35"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5:15" customFormat="1" x14ac:dyDescent="0.35"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5:15" customFormat="1" x14ac:dyDescent="0.35"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5:15" customFormat="1" x14ac:dyDescent="0.35"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5:15" customFormat="1" x14ac:dyDescent="0.35"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5:15" customFormat="1" x14ac:dyDescent="0.35"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5:15" customFormat="1" x14ac:dyDescent="0.35"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5:15" customFormat="1" x14ac:dyDescent="0.35"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5:15" customFormat="1" x14ac:dyDescent="0.35"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5:15" customFormat="1" x14ac:dyDescent="0.35"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5:15" customFormat="1" x14ac:dyDescent="0.35"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5:15" customFormat="1" x14ac:dyDescent="0.35"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5:15" customFormat="1" x14ac:dyDescent="0.35"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5:15" customFormat="1" x14ac:dyDescent="0.35"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5:15" customFormat="1" x14ac:dyDescent="0.35"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5:15" customFormat="1" x14ac:dyDescent="0.35"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5:15" customFormat="1" x14ac:dyDescent="0.35"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5:15" customFormat="1" x14ac:dyDescent="0.35"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5:15" customFormat="1" x14ac:dyDescent="0.35"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5:15" customFormat="1" x14ac:dyDescent="0.35"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5:15" customFormat="1" x14ac:dyDescent="0.35"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5:15" customFormat="1" x14ac:dyDescent="0.35"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5:15" customFormat="1" x14ac:dyDescent="0.35"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5:15" customFormat="1" x14ac:dyDescent="0.35"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5:15" customFormat="1" x14ac:dyDescent="0.35"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5:15" customFormat="1" x14ac:dyDescent="0.35"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5:15" customFormat="1" x14ac:dyDescent="0.35"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5:15" customFormat="1" x14ac:dyDescent="0.35"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5:15" customFormat="1" x14ac:dyDescent="0.35"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5:15" customFormat="1" x14ac:dyDescent="0.35"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5:15" customFormat="1" x14ac:dyDescent="0.35"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5:15" customFormat="1" x14ac:dyDescent="0.35"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5:15" customFormat="1" x14ac:dyDescent="0.35"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5:15" customFormat="1" x14ac:dyDescent="0.35"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5:15" customFormat="1" x14ac:dyDescent="0.35"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5:15" customFormat="1" x14ac:dyDescent="0.35"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5:15" customFormat="1" x14ac:dyDescent="0.35"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5:15" customFormat="1" x14ac:dyDescent="0.35"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5:15" customFormat="1" x14ac:dyDescent="0.35"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5:15" customFormat="1" x14ac:dyDescent="0.35"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5:15" customFormat="1" x14ac:dyDescent="0.35"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5:15" customFormat="1" x14ac:dyDescent="0.35"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5:15" customFormat="1" x14ac:dyDescent="0.35"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5:15" customFormat="1" x14ac:dyDescent="0.35"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5:15" customFormat="1" x14ac:dyDescent="0.35"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5:15" customFormat="1" x14ac:dyDescent="0.35"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5:15" customFormat="1" x14ac:dyDescent="0.35"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5:15" customFormat="1" x14ac:dyDescent="0.35"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5:15" customFormat="1" x14ac:dyDescent="0.35"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5:15" customFormat="1" x14ac:dyDescent="0.35"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5:15" customFormat="1" x14ac:dyDescent="0.35"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5:15" customFormat="1" x14ac:dyDescent="0.35"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5:15" customFormat="1" x14ac:dyDescent="0.35"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5:15" customFormat="1" x14ac:dyDescent="0.35"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5:15" customFormat="1" x14ac:dyDescent="0.35"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5:15" customFormat="1" x14ac:dyDescent="0.35"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5:15" customFormat="1" x14ac:dyDescent="0.35"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5:15" customFormat="1" x14ac:dyDescent="0.35"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5:15" customFormat="1" x14ac:dyDescent="0.35"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5:15" customFormat="1" x14ac:dyDescent="0.35"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5:15" customFormat="1" x14ac:dyDescent="0.35"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5:15" customFormat="1" x14ac:dyDescent="0.35"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5:15" customFormat="1" x14ac:dyDescent="0.35"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5:15" customFormat="1" x14ac:dyDescent="0.35"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5:15" customFormat="1" x14ac:dyDescent="0.35"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5:15" customFormat="1" x14ac:dyDescent="0.35"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5:15" customFormat="1" x14ac:dyDescent="0.35"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5:15" customFormat="1" x14ac:dyDescent="0.35"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5:15" customFormat="1" x14ac:dyDescent="0.35"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5:15" customFormat="1" x14ac:dyDescent="0.35"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5:15" customFormat="1" x14ac:dyDescent="0.35"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5:15" customFormat="1" x14ac:dyDescent="0.35"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5:15" customFormat="1" x14ac:dyDescent="0.35"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5:15" customFormat="1" x14ac:dyDescent="0.35"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5:15" customFormat="1" x14ac:dyDescent="0.35"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5:15" customFormat="1" x14ac:dyDescent="0.35"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5:15" customFormat="1" x14ac:dyDescent="0.35"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5:15" customFormat="1" x14ac:dyDescent="0.35"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5:15" customFormat="1" x14ac:dyDescent="0.35"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5:15" customFormat="1" x14ac:dyDescent="0.35"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5:15" customFormat="1" x14ac:dyDescent="0.35"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5:15" customFormat="1" x14ac:dyDescent="0.35"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5:15" customFormat="1" x14ac:dyDescent="0.35"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5:15" customFormat="1" x14ac:dyDescent="0.35"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5:15" customFormat="1" x14ac:dyDescent="0.35"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5:15" customFormat="1" x14ac:dyDescent="0.35"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5:15" customFormat="1" x14ac:dyDescent="0.35"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5:15" customFormat="1" x14ac:dyDescent="0.35"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5:15" customFormat="1" x14ac:dyDescent="0.35"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5:15" customFormat="1" x14ac:dyDescent="0.35"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5:15" customFormat="1" x14ac:dyDescent="0.35"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5:15" customFormat="1" x14ac:dyDescent="0.35"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5:15" customFormat="1" x14ac:dyDescent="0.35"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5:15" customFormat="1" x14ac:dyDescent="0.35"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5:15" customFormat="1" x14ac:dyDescent="0.35"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5:15" customFormat="1" x14ac:dyDescent="0.35"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5:15" customFormat="1" x14ac:dyDescent="0.35"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5:15" customFormat="1" x14ac:dyDescent="0.35"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5:15" customFormat="1" x14ac:dyDescent="0.35"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5:15" customFormat="1" x14ac:dyDescent="0.35"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5:15" customFormat="1" x14ac:dyDescent="0.35"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5:15" customFormat="1" x14ac:dyDescent="0.35"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5:15" customFormat="1" x14ac:dyDescent="0.35"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5:15" customFormat="1" x14ac:dyDescent="0.35"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5:15" customFormat="1" x14ac:dyDescent="0.35"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5:15" customFormat="1" x14ac:dyDescent="0.35"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5:15" customFormat="1" x14ac:dyDescent="0.35"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5:15" customFormat="1" x14ac:dyDescent="0.35"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5:15" customFormat="1" x14ac:dyDescent="0.35"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5:15" customFormat="1" x14ac:dyDescent="0.35"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5:15" customFormat="1" x14ac:dyDescent="0.35"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5:15" customFormat="1" x14ac:dyDescent="0.35"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5:15" customFormat="1" x14ac:dyDescent="0.35"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5:15" customFormat="1" x14ac:dyDescent="0.35"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5:15" customFormat="1" x14ac:dyDescent="0.35"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5:15" customFormat="1" x14ac:dyDescent="0.35"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5:15" customFormat="1" x14ac:dyDescent="0.35"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5:15" customFormat="1" x14ac:dyDescent="0.35"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5:15" customFormat="1" x14ac:dyDescent="0.35"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5:15" customFormat="1" x14ac:dyDescent="0.35"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5:15" customFormat="1" x14ac:dyDescent="0.35"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5:15" customFormat="1" x14ac:dyDescent="0.35"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5:15" customFormat="1" x14ac:dyDescent="0.35"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5:15" customFormat="1" x14ac:dyDescent="0.35"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5:15" customFormat="1" x14ac:dyDescent="0.35"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5:15" customFormat="1" x14ac:dyDescent="0.35"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5:15" customFormat="1" x14ac:dyDescent="0.35"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5:15" customFormat="1" x14ac:dyDescent="0.35"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5:15" customFormat="1" x14ac:dyDescent="0.35"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5:15" customFormat="1" x14ac:dyDescent="0.35"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5:15" customFormat="1" x14ac:dyDescent="0.35"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5:15" customFormat="1" x14ac:dyDescent="0.35"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5:15" customFormat="1" x14ac:dyDescent="0.35"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5:15" customFormat="1" x14ac:dyDescent="0.35"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5:15" customFormat="1" x14ac:dyDescent="0.35"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5:15" customFormat="1" x14ac:dyDescent="0.35"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5:15" customFormat="1" x14ac:dyDescent="0.35"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5:15" customFormat="1" x14ac:dyDescent="0.35"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5:15" customFormat="1" x14ac:dyDescent="0.35"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5:15" customFormat="1" x14ac:dyDescent="0.35"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5:15" customFormat="1" x14ac:dyDescent="0.35"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5:15" customFormat="1" x14ac:dyDescent="0.35"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5:15" customFormat="1" x14ac:dyDescent="0.35"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5:15" customFormat="1" x14ac:dyDescent="0.35"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5:15" customFormat="1" x14ac:dyDescent="0.35"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5:15" customFormat="1" x14ac:dyDescent="0.35"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5:15" customFormat="1" x14ac:dyDescent="0.35"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5:15" customFormat="1" x14ac:dyDescent="0.35"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5:15" customFormat="1" x14ac:dyDescent="0.35"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5:15" customFormat="1" x14ac:dyDescent="0.35"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5:15" customFormat="1" x14ac:dyDescent="0.35"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5:15" customFormat="1" x14ac:dyDescent="0.35"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5:15" customFormat="1" x14ac:dyDescent="0.35"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5:15" customFormat="1" x14ac:dyDescent="0.35"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5:15" customFormat="1" x14ac:dyDescent="0.35"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5:15" customFormat="1" x14ac:dyDescent="0.35"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5:15" customFormat="1" x14ac:dyDescent="0.35"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5:15" customFormat="1" x14ac:dyDescent="0.35"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5:15" customFormat="1" x14ac:dyDescent="0.35"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5:15" customFormat="1" x14ac:dyDescent="0.35"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5:15" customFormat="1" x14ac:dyDescent="0.35"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5:15" customFormat="1" x14ac:dyDescent="0.35"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5:15" customFormat="1" x14ac:dyDescent="0.35"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5:15" customFormat="1" x14ac:dyDescent="0.35"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5:15" customFormat="1" x14ac:dyDescent="0.35"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5:15" customFormat="1" x14ac:dyDescent="0.35"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5:15" customFormat="1" x14ac:dyDescent="0.35"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5:15" customFormat="1" x14ac:dyDescent="0.35"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5:15" customFormat="1" x14ac:dyDescent="0.35"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5:15" customFormat="1" x14ac:dyDescent="0.35"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5:15" customFormat="1" x14ac:dyDescent="0.35"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5:15" customFormat="1" x14ac:dyDescent="0.35"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5:15" customFormat="1" x14ac:dyDescent="0.35"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5:15" customFormat="1" x14ac:dyDescent="0.35"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5:15" customFormat="1" x14ac:dyDescent="0.35"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5:15" customFormat="1" x14ac:dyDescent="0.35"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5:15" customFormat="1" x14ac:dyDescent="0.35"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5:15" customFormat="1" x14ac:dyDescent="0.35"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5:15" customFormat="1" x14ac:dyDescent="0.35"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5:15" customFormat="1" x14ac:dyDescent="0.35"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5:15" customFormat="1" x14ac:dyDescent="0.35"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5:15" customFormat="1" x14ac:dyDescent="0.35"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5:15" customFormat="1" x14ac:dyDescent="0.35"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5:15" customFormat="1" x14ac:dyDescent="0.35"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5:15" customFormat="1" x14ac:dyDescent="0.35"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5:15" customFormat="1" x14ac:dyDescent="0.35"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5:15" customFormat="1" x14ac:dyDescent="0.35"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5:15" customFormat="1" x14ac:dyDescent="0.35"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5:15" customFormat="1" x14ac:dyDescent="0.35"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5:15" customFormat="1" x14ac:dyDescent="0.35"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5:15" customFormat="1" x14ac:dyDescent="0.35"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5:15" customFormat="1" x14ac:dyDescent="0.35"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5:15" customFormat="1" x14ac:dyDescent="0.35"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5:15" customFormat="1" x14ac:dyDescent="0.35"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5:15" customFormat="1" x14ac:dyDescent="0.35"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5:15" customFormat="1" x14ac:dyDescent="0.35"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5:15" customFormat="1" x14ac:dyDescent="0.35"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5:15" customFormat="1" x14ac:dyDescent="0.35"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5:15" customFormat="1" x14ac:dyDescent="0.35"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5:15" customFormat="1" x14ac:dyDescent="0.35"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5:15" customFormat="1" x14ac:dyDescent="0.35"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5:15" customFormat="1" x14ac:dyDescent="0.35"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5:15" customFormat="1" x14ac:dyDescent="0.35"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5:15" customFormat="1" x14ac:dyDescent="0.35"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5:15" customFormat="1" x14ac:dyDescent="0.35"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5:15" customFormat="1" x14ac:dyDescent="0.35"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5:15" customFormat="1" x14ac:dyDescent="0.35"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5:15" customFormat="1" x14ac:dyDescent="0.35"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5:15" customFormat="1" x14ac:dyDescent="0.35"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5:15" customFormat="1" x14ac:dyDescent="0.35"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5:15" customFormat="1" x14ac:dyDescent="0.35"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5:15" customFormat="1" x14ac:dyDescent="0.35"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5:15" customFormat="1" x14ac:dyDescent="0.35"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5:15" customFormat="1" x14ac:dyDescent="0.35"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5:15" customFormat="1" x14ac:dyDescent="0.35"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5:15" customFormat="1" x14ac:dyDescent="0.35"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5:15" customFormat="1" x14ac:dyDescent="0.35"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5:15" customFormat="1" x14ac:dyDescent="0.35"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5:15" customFormat="1" x14ac:dyDescent="0.35"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5:15" customFormat="1" x14ac:dyDescent="0.35"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5:15" customFormat="1" x14ac:dyDescent="0.35"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5:15" customFormat="1" x14ac:dyDescent="0.35"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5:15" customFormat="1" x14ac:dyDescent="0.35"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5:15" customFormat="1" x14ac:dyDescent="0.35"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5:15" customFormat="1" x14ac:dyDescent="0.35"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5:15" customFormat="1" x14ac:dyDescent="0.35"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5:15" customFormat="1" x14ac:dyDescent="0.35"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5:15" customFormat="1" x14ac:dyDescent="0.35"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5:15" customFormat="1" x14ac:dyDescent="0.35"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5:15" customFormat="1" x14ac:dyDescent="0.35"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5:15" customFormat="1" x14ac:dyDescent="0.35"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5:15" customFormat="1" x14ac:dyDescent="0.35"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5:15" customFormat="1" x14ac:dyDescent="0.35"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5:15" customFormat="1" x14ac:dyDescent="0.35"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5:15" customFormat="1" x14ac:dyDescent="0.35"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5:15" customFormat="1" x14ac:dyDescent="0.35"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5:15" customFormat="1" x14ac:dyDescent="0.35"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5:15" customFormat="1" x14ac:dyDescent="0.35"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5:15" customFormat="1" x14ac:dyDescent="0.35"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5:15" customFormat="1" x14ac:dyDescent="0.35"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5:15" customFormat="1" x14ac:dyDescent="0.35"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5:15" customFormat="1" x14ac:dyDescent="0.35"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5:15" customFormat="1" x14ac:dyDescent="0.35"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5:15" customFormat="1" x14ac:dyDescent="0.35"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5:15" customFormat="1" x14ac:dyDescent="0.35"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5:15" customFormat="1" x14ac:dyDescent="0.35"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5:15" customFormat="1" x14ac:dyDescent="0.35"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5:15" customFormat="1" x14ac:dyDescent="0.35"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5:15" customFormat="1" x14ac:dyDescent="0.35"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5:15" customFormat="1" x14ac:dyDescent="0.35"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5:15" customFormat="1" x14ac:dyDescent="0.35"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5:15" customFormat="1" x14ac:dyDescent="0.35"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5:15" customFormat="1" x14ac:dyDescent="0.35"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5:15" customFormat="1" x14ac:dyDescent="0.35"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5:15" customFormat="1" x14ac:dyDescent="0.35"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5:15" customFormat="1" x14ac:dyDescent="0.35"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5:15" customFormat="1" x14ac:dyDescent="0.35"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5:15" customFormat="1" x14ac:dyDescent="0.35"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5:15" customFormat="1" x14ac:dyDescent="0.35"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5:15" customFormat="1" x14ac:dyDescent="0.35"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5:15" customFormat="1" x14ac:dyDescent="0.35"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5:15" customFormat="1" x14ac:dyDescent="0.35"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5:15" customFormat="1" x14ac:dyDescent="0.35"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5:15" customFormat="1" x14ac:dyDescent="0.35"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5:15" customFormat="1" x14ac:dyDescent="0.35"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5:15" customFormat="1" x14ac:dyDescent="0.35"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5:15" customFormat="1" x14ac:dyDescent="0.35"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5:15" customFormat="1" x14ac:dyDescent="0.35"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5:15" customFormat="1" x14ac:dyDescent="0.35"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5:15" customFormat="1" x14ac:dyDescent="0.35"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5:15" customFormat="1" x14ac:dyDescent="0.35"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5:15" customFormat="1" x14ac:dyDescent="0.35"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5:15" customFormat="1" x14ac:dyDescent="0.35"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5:15" customFormat="1" x14ac:dyDescent="0.35"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5:15" customFormat="1" x14ac:dyDescent="0.35"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5:15" customFormat="1" x14ac:dyDescent="0.35"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5:15" customFormat="1" x14ac:dyDescent="0.35"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5:15" customFormat="1" x14ac:dyDescent="0.35"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5:15" customFormat="1" x14ac:dyDescent="0.35"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5:15" customFormat="1" x14ac:dyDescent="0.35"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5:15" customFormat="1" x14ac:dyDescent="0.35"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5:15" customFormat="1" x14ac:dyDescent="0.35"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5:15" customFormat="1" x14ac:dyDescent="0.35"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5:15" customFormat="1" x14ac:dyDescent="0.35"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5:15" customFormat="1" x14ac:dyDescent="0.35"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5:15" customFormat="1" x14ac:dyDescent="0.35"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5:15" customFormat="1" x14ac:dyDescent="0.35"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5:15" customFormat="1" x14ac:dyDescent="0.35"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5:15" customFormat="1" x14ac:dyDescent="0.35"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5:15" customFormat="1" x14ac:dyDescent="0.35"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5:15" customFormat="1" x14ac:dyDescent="0.35"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5:15" customFormat="1" x14ac:dyDescent="0.35"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5:15" customFormat="1" x14ac:dyDescent="0.35"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5:15" customFormat="1" x14ac:dyDescent="0.35"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5:15" customFormat="1" x14ac:dyDescent="0.35"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5:15" customFormat="1" x14ac:dyDescent="0.35"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5:15" customFormat="1" x14ac:dyDescent="0.35"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5:15" customFormat="1" x14ac:dyDescent="0.35"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5:15" customFormat="1" x14ac:dyDescent="0.35"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5:15" customFormat="1" x14ac:dyDescent="0.35"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5:15" customFormat="1" x14ac:dyDescent="0.35"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5:15" customFormat="1" x14ac:dyDescent="0.35"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5:15" customFormat="1" x14ac:dyDescent="0.35"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5:15" customFormat="1" x14ac:dyDescent="0.35"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5:15" customFormat="1" x14ac:dyDescent="0.35"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5:15" customFormat="1" x14ac:dyDescent="0.35"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5:15" customFormat="1" x14ac:dyDescent="0.35"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5:15" customFormat="1" x14ac:dyDescent="0.35"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5:15" customFormat="1" x14ac:dyDescent="0.35"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5:15" customFormat="1" x14ac:dyDescent="0.35"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5:15" customFormat="1" x14ac:dyDescent="0.35"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5:15" customFormat="1" x14ac:dyDescent="0.35"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5:15" customFormat="1" x14ac:dyDescent="0.35"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5:15" customFormat="1" x14ac:dyDescent="0.35"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5:15" customFormat="1" x14ac:dyDescent="0.35"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5:15" customFormat="1" x14ac:dyDescent="0.35"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5:15" customFormat="1" x14ac:dyDescent="0.35"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5:15" customFormat="1" x14ac:dyDescent="0.35"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5:15" customFormat="1" x14ac:dyDescent="0.3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5:15" customFormat="1" x14ac:dyDescent="0.35"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5:15" customFormat="1" x14ac:dyDescent="0.35"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5:15" customFormat="1" x14ac:dyDescent="0.35"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5:15" customFormat="1" x14ac:dyDescent="0.35"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5:15" customFormat="1" x14ac:dyDescent="0.35"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5:15" customFormat="1" x14ac:dyDescent="0.35"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5:15" customFormat="1" x14ac:dyDescent="0.35"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5:15" customFormat="1" x14ac:dyDescent="0.35"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5:15" customFormat="1" x14ac:dyDescent="0.35"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5:15" customFormat="1" x14ac:dyDescent="0.35"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5:15" customFormat="1" x14ac:dyDescent="0.35"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5:15" customFormat="1" x14ac:dyDescent="0.35"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5:15" customFormat="1" x14ac:dyDescent="0.35"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5:15" customFormat="1" x14ac:dyDescent="0.35"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5:15" customFormat="1" x14ac:dyDescent="0.35"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5:15" customFormat="1" x14ac:dyDescent="0.35"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5:15" customFormat="1" x14ac:dyDescent="0.35"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5:15" customFormat="1" x14ac:dyDescent="0.35"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5:15" customFormat="1" x14ac:dyDescent="0.35"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5:15" customFormat="1" x14ac:dyDescent="0.35"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5:15" customFormat="1" x14ac:dyDescent="0.35"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5:15" customFormat="1" x14ac:dyDescent="0.35"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5:15" customFormat="1" x14ac:dyDescent="0.35"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5:15" customFormat="1" x14ac:dyDescent="0.35"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5:15" customFormat="1" x14ac:dyDescent="0.35"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5:15" customFormat="1" x14ac:dyDescent="0.35"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5:15" customFormat="1" x14ac:dyDescent="0.35"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5:15" customFormat="1" x14ac:dyDescent="0.35"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5:15" customFormat="1" x14ac:dyDescent="0.35"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5:15" customFormat="1" x14ac:dyDescent="0.35"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5:15" customFormat="1" x14ac:dyDescent="0.35"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5:15" customFormat="1" x14ac:dyDescent="0.35"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5:15" customFormat="1" x14ac:dyDescent="0.35"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5:15" customFormat="1" x14ac:dyDescent="0.35"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5:15" customFormat="1" x14ac:dyDescent="0.35"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5:15" customFormat="1" x14ac:dyDescent="0.35"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5:15" customFormat="1" x14ac:dyDescent="0.35"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5:15" customFormat="1" x14ac:dyDescent="0.35"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5:15" customFormat="1" x14ac:dyDescent="0.35"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5:15" customFormat="1" x14ac:dyDescent="0.35"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5:15" customFormat="1" x14ac:dyDescent="0.35"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5:15" customFormat="1" x14ac:dyDescent="0.35"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5:15" customFormat="1" x14ac:dyDescent="0.35"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5:15" customFormat="1" x14ac:dyDescent="0.35"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5:15" customFormat="1" x14ac:dyDescent="0.35"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5:15" customFormat="1" x14ac:dyDescent="0.35"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5:15" customFormat="1" x14ac:dyDescent="0.35"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5:15" customFormat="1" x14ac:dyDescent="0.35"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5:15" customFormat="1" x14ac:dyDescent="0.35"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5:15" customFormat="1" x14ac:dyDescent="0.35"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5:15" customFormat="1" x14ac:dyDescent="0.35"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5:15" customFormat="1" x14ac:dyDescent="0.35"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5:15" customFormat="1" x14ac:dyDescent="0.35"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5:15" customFormat="1" x14ac:dyDescent="0.35"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5:15" customFormat="1" x14ac:dyDescent="0.35"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5:15" customFormat="1" x14ac:dyDescent="0.35"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5:15" customFormat="1" x14ac:dyDescent="0.35"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5:15" customFormat="1" x14ac:dyDescent="0.35"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5:15" customFormat="1" x14ac:dyDescent="0.35"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5:15" customFormat="1" x14ac:dyDescent="0.35"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5:15" customFormat="1" x14ac:dyDescent="0.35"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5:15" customFormat="1" x14ac:dyDescent="0.35"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5:15" customFormat="1" x14ac:dyDescent="0.35"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5:15" customFormat="1" x14ac:dyDescent="0.35"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5:15" customFormat="1" x14ac:dyDescent="0.35"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5:15" customFormat="1" x14ac:dyDescent="0.35"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5:15" customFormat="1" x14ac:dyDescent="0.35"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5:15" customFormat="1" x14ac:dyDescent="0.35"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5:15" customFormat="1" x14ac:dyDescent="0.35"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5:15" customFormat="1" x14ac:dyDescent="0.35"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5:15" customFormat="1" x14ac:dyDescent="0.35"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5:15" customFormat="1" x14ac:dyDescent="0.35"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5:15" customFormat="1" x14ac:dyDescent="0.35"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5:15" customFormat="1" x14ac:dyDescent="0.35"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5:15" customFormat="1" x14ac:dyDescent="0.35"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5:15" customFormat="1" x14ac:dyDescent="0.35"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5:15" customFormat="1" x14ac:dyDescent="0.35"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5:15" customFormat="1" x14ac:dyDescent="0.35"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5:15" customFormat="1" x14ac:dyDescent="0.35"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5:15" customFormat="1" x14ac:dyDescent="0.35"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5:15" customFormat="1" x14ac:dyDescent="0.35"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5:15" customFormat="1" x14ac:dyDescent="0.35"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5:15" customFormat="1" x14ac:dyDescent="0.35"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5:15" customFormat="1" x14ac:dyDescent="0.35"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5:15" customFormat="1" x14ac:dyDescent="0.35"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5:15" customFormat="1" x14ac:dyDescent="0.35"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5:15" customFormat="1" x14ac:dyDescent="0.35"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5:15" customFormat="1" x14ac:dyDescent="0.35"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5:15" customFormat="1" x14ac:dyDescent="0.35"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5:15" customFormat="1" x14ac:dyDescent="0.35"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5:15" customFormat="1" x14ac:dyDescent="0.35"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5:15" customFormat="1" x14ac:dyDescent="0.35"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5:15" customFormat="1" x14ac:dyDescent="0.35"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5:15" customFormat="1" x14ac:dyDescent="0.35"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5:15" customFormat="1" x14ac:dyDescent="0.35"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5:15" customFormat="1" x14ac:dyDescent="0.35"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5:15" customFormat="1" x14ac:dyDescent="0.35"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5:15" customFormat="1" x14ac:dyDescent="0.35"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5:15" customFormat="1" x14ac:dyDescent="0.35"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5:15" customFormat="1" x14ac:dyDescent="0.35"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5:15" customFormat="1" x14ac:dyDescent="0.35"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5:15" customFormat="1" x14ac:dyDescent="0.35"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5:15" customFormat="1" x14ac:dyDescent="0.35"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5:15" customFormat="1" x14ac:dyDescent="0.35"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5:15" customFormat="1" x14ac:dyDescent="0.35"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5:15" customFormat="1" x14ac:dyDescent="0.35"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5:15" customFormat="1" x14ac:dyDescent="0.35"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5:15" customFormat="1" x14ac:dyDescent="0.35"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5:15" customFormat="1" x14ac:dyDescent="0.35"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5:15" customFormat="1" x14ac:dyDescent="0.35"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5:15" customFormat="1" x14ac:dyDescent="0.35"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5:15" customFormat="1" x14ac:dyDescent="0.35"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5:15" customFormat="1" x14ac:dyDescent="0.35"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5:15" customFormat="1" x14ac:dyDescent="0.35"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5:15" customFormat="1" x14ac:dyDescent="0.35"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5:15" customFormat="1" x14ac:dyDescent="0.35"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5:15" customFormat="1" x14ac:dyDescent="0.35"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5:15" customFormat="1" x14ac:dyDescent="0.35"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5:15" customFormat="1" x14ac:dyDescent="0.35"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5:15" customFormat="1" x14ac:dyDescent="0.35"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5:15" customFormat="1" x14ac:dyDescent="0.35"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5:15" customFormat="1" x14ac:dyDescent="0.35"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5:15" customFormat="1" x14ac:dyDescent="0.35"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5:15" customFormat="1" x14ac:dyDescent="0.35"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5:15" customFormat="1" x14ac:dyDescent="0.35"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5:15" customFormat="1" x14ac:dyDescent="0.35"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5:15" customFormat="1" x14ac:dyDescent="0.35"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5:15" customFormat="1" x14ac:dyDescent="0.35"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5:15" customFormat="1" x14ac:dyDescent="0.35"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5:15" customFormat="1" x14ac:dyDescent="0.35"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5:15" customFormat="1" x14ac:dyDescent="0.35"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5:15" customFormat="1" x14ac:dyDescent="0.35"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5:15" customFormat="1" x14ac:dyDescent="0.35"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5:15" customFormat="1" x14ac:dyDescent="0.35"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5:15" customFormat="1" x14ac:dyDescent="0.35"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5:15" customFormat="1" x14ac:dyDescent="0.35"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5:15" customFormat="1" x14ac:dyDescent="0.35"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5:15" customFormat="1" x14ac:dyDescent="0.35"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5:15" customFormat="1" x14ac:dyDescent="0.35"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5:15" customFormat="1" x14ac:dyDescent="0.35"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5:15" customFormat="1" x14ac:dyDescent="0.35"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5:15" customFormat="1" x14ac:dyDescent="0.35"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5:15" customFormat="1" x14ac:dyDescent="0.35"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5:15" customFormat="1" x14ac:dyDescent="0.35"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5:15" customFormat="1" x14ac:dyDescent="0.35"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5:15" customFormat="1" x14ac:dyDescent="0.35"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5:15" customFormat="1" x14ac:dyDescent="0.35"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5:15" customFormat="1" x14ac:dyDescent="0.35"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5:15" customFormat="1" x14ac:dyDescent="0.35"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5:15" customFormat="1" x14ac:dyDescent="0.35"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5:15" customFormat="1" x14ac:dyDescent="0.35"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5:15" customFormat="1" x14ac:dyDescent="0.35"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5:15" customFormat="1" x14ac:dyDescent="0.35"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5:15" customFormat="1" x14ac:dyDescent="0.35"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5:15" customFormat="1" x14ac:dyDescent="0.35"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5:15" customFormat="1" x14ac:dyDescent="0.35"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5:15" customFormat="1" x14ac:dyDescent="0.35"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5:15" customFormat="1" x14ac:dyDescent="0.35"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5:15" customFormat="1" x14ac:dyDescent="0.35"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5:15" customFormat="1" x14ac:dyDescent="0.35"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5:15" customFormat="1" x14ac:dyDescent="0.35"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5:15" customFormat="1" x14ac:dyDescent="0.35"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5:15" customFormat="1" x14ac:dyDescent="0.35"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5:15" customFormat="1" x14ac:dyDescent="0.35"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5:15" customFormat="1" x14ac:dyDescent="0.35"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5:15" customFormat="1" x14ac:dyDescent="0.35"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5:15" customFormat="1" x14ac:dyDescent="0.35"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5:15" customFormat="1" x14ac:dyDescent="0.35"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5:15" customFormat="1" x14ac:dyDescent="0.35"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5:15" customFormat="1" x14ac:dyDescent="0.35"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5:15" customFormat="1" x14ac:dyDescent="0.35"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5:15" customFormat="1" x14ac:dyDescent="0.35"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5:15" customFormat="1" x14ac:dyDescent="0.35"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5:15" customFormat="1" x14ac:dyDescent="0.35"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5:15" customFormat="1" x14ac:dyDescent="0.35"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5:15" customFormat="1" x14ac:dyDescent="0.35"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5:15" customFormat="1" x14ac:dyDescent="0.35"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5:15" customFormat="1" x14ac:dyDescent="0.35"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5:15" customFormat="1" x14ac:dyDescent="0.35"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5:15" customFormat="1" x14ac:dyDescent="0.35"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5:15" customFormat="1" x14ac:dyDescent="0.35"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5:15" customFormat="1" x14ac:dyDescent="0.35"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5:15" customFormat="1" x14ac:dyDescent="0.35"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5:15" customFormat="1" x14ac:dyDescent="0.35"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5:15" customFormat="1" x14ac:dyDescent="0.35"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5:15" customFormat="1" x14ac:dyDescent="0.35"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5:15" customFormat="1" x14ac:dyDescent="0.35"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5:15" customFormat="1" x14ac:dyDescent="0.35"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5:15" customFormat="1" x14ac:dyDescent="0.35"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5:15" customFormat="1" x14ac:dyDescent="0.35"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5:15" customFormat="1" x14ac:dyDescent="0.35"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5:15" customFormat="1" x14ac:dyDescent="0.35"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5:15" customFormat="1" x14ac:dyDescent="0.35"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5:15" customFormat="1" x14ac:dyDescent="0.35"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5:15" customFormat="1" x14ac:dyDescent="0.35"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5:15" customFormat="1" x14ac:dyDescent="0.35"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5:15" customFormat="1" x14ac:dyDescent="0.35"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5:15" customFormat="1" x14ac:dyDescent="0.35"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5:15" customFormat="1" x14ac:dyDescent="0.35"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5:15" customFormat="1" x14ac:dyDescent="0.35"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5:15" customFormat="1" x14ac:dyDescent="0.35"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5:15" customFormat="1" x14ac:dyDescent="0.35"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5:15" customFormat="1" x14ac:dyDescent="0.35"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5:15" customFormat="1" x14ac:dyDescent="0.35"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5:15" customFormat="1" x14ac:dyDescent="0.35"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5:15" customFormat="1" x14ac:dyDescent="0.35"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5:15" customFormat="1" x14ac:dyDescent="0.35"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5:15" customFormat="1" x14ac:dyDescent="0.35"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5:15" customFormat="1" x14ac:dyDescent="0.35"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5:15" customFormat="1" x14ac:dyDescent="0.35"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5:15" customFormat="1" x14ac:dyDescent="0.35"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5:15" customFormat="1" x14ac:dyDescent="0.35"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5:15" customFormat="1" x14ac:dyDescent="0.35"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5:15" customFormat="1" x14ac:dyDescent="0.35"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5:15" customFormat="1" x14ac:dyDescent="0.35"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5:15" customFormat="1" x14ac:dyDescent="0.35"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5:15" customFormat="1" x14ac:dyDescent="0.35"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5:15" customFormat="1" x14ac:dyDescent="0.35"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5:15" customFormat="1" x14ac:dyDescent="0.35"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5:15" customFormat="1" x14ac:dyDescent="0.35"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5:15" customFormat="1" x14ac:dyDescent="0.35"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5:15" customFormat="1" x14ac:dyDescent="0.35"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5:15" customFormat="1" x14ac:dyDescent="0.35"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5:15" customFormat="1" x14ac:dyDescent="0.35"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5:15" customFormat="1" x14ac:dyDescent="0.35"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5:15" customFormat="1" x14ac:dyDescent="0.35"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5:15" customFormat="1" x14ac:dyDescent="0.35"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5:15" customFormat="1" x14ac:dyDescent="0.35"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5:15" customFormat="1" x14ac:dyDescent="0.35"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5:15" customFormat="1" x14ac:dyDescent="0.35"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5:15" customFormat="1" x14ac:dyDescent="0.35"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5:15" customFormat="1" x14ac:dyDescent="0.35"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5:15" customFormat="1" x14ac:dyDescent="0.35"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5:15" customFormat="1" x14ac:dyDescent="0.35"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5:15" customFormat="1" x14ac:dyDescent="0.35"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5:15" customFormat="1" x14ac:dyDescent="0.35"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5:15" customFormat="1" x14ac:dyDescent="0.35"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5:15" customFormat="1" x14ac:dyDescent="0.35"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5:15" customFormat="1" x14ac:dyDescent="0.35"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5:15" customFormat="1" x14ac:dyDescent="0.35"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5:15" customFormat="1" x14ac:dyDescent="0.35"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5:15" customFormat="1" x14ac:dyDescent="0.35"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5:15" customFormat="1" x14ac:dyDescent="0.35"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5:15" customFormat="1" x14ac:dyDescent="0.35"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5:15" customFormat="1" x14ac:dyDescent="0.35"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5:15" customFormat="1" x14ac:dyDescent="0.35"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5:15" customFormat="1" x14ac:dyDescent="0.35"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5:15" customFormat="1" x14ac:dyDescent="0.35"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5:15" customFormat="1" x14ac:dyDescent="0.35"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5:15" customFormat="1" x14ac:dyDescent="0.35"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5:15" customFormat="1" x14ac:dyDescent="0.35"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5:15" customFormat="1" x14ac:dyDescent="0.35"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5:15" customFormat="1" x14ac:dyDescent="0.35"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5:15" customFormat="1" x14ac:dyDescent="0.35"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5:15" customFormat="1" x14ac:dyDescent="0.35"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5:15" customFormat="1" x14ac:dyDescent="0.35"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5:15" customFormat="1" x14ac:dyDescent="0.35"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5:15" customFormat="1" x14ac:dyDescent="0.35"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5:15" customFormat="1" x14ac:dyDescent="0.35"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5:15" customFormat="1" x14ac:dyDescent="0.35"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5:15" customFormat="1" x14ac:dyDescent="0.35"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5:15" customFormat="1" x14ac:dyDescent="0.35"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5:15" customFormat="1" x14ac:dyDescent="0.35"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5:15" customFormat="1" x14ac:dyDescent="0.35"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5:15" customFormat="1" x14ac:dyDescent="0.35"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5:15" customFormat="1" x14ac:dyDescent="0.35"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5:15" customFormat="1" x14ac:dyDescent="0.35"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5:15" customFormat="1" x14ac:dyDescent="0.35"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5:15" customFormat="1" x14ac:dyDescent="0.35"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5:15" customFormat="1" x14ac:dyDescent="0.35"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5:15" customFormat="1" x14ac:dyDescent="0.35"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5:15" customFormat="1" x14ac:dyDescent="0.35"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5:15" customFormat="1" x14ac:dyDescent="0.35"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5:15" customFormat="1" x14ac:dyDescent="0.35"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5:15" customFormat="1" x14ac:dyDescent="0.35"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5:15" customFormat="1" x14ac:dyDescent="0.35"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5:15" customFormat="1" x14ac:dyDescent="0.35"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5:15" customFormat="1" x14ac:dyDescent="0.35"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5:15" customFormat="1" x14ac:dyDescent="0.35"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5:15" customFormat="1" x14ac:dyDescent="0.35"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5:15" customFormat="1" x14ac:dyDescent="0.35"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5:15" customFormat="1" x14ac:dyDescent="0.35"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5:15" customFormat="1" x14ac:dyDescent="0.35"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5:15" customFormat="1" x14ac:dyDescent="0.35"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5:15" customFormat="1" x14ac:dyDescent="0.35"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5:15" customFormat="1" x14ac:dyDescent="0.35"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5:15" customFormat="1" x14ac:dyDescent="0.35"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5:15" customFormat="1" x14ac:dyDescent="0.35"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5:15" customFormat="1" x14ac:dyDescent="0.35"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5:15" customFormat="1" x14ac:dyDescent="0.35"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5:15" customFormat="1" x14ac:dyDescent="0.35"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5:15" customFormat="1" x14ac:dyDescent="0.35"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5:15" customFormat="1" x14ac:dyDescent="0.35"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5:15" customFormat="1" x14ac:dyDescent="0.35"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5:15" customFormat="1" x14ac:dyDescent="0.35"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5:15" customFormat="1" x14ac:dyDescent="0.35"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5:15" customFormat="1" x14ac:dyDescent="0.35"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5:15" customFormat="1" x14ac:dyDescent="0.35"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5:15" customFormat="1" x14ac:dyDescent="0.35"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5:15" customFormat="1" x14ac:dyDescent="0.35"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5:15" customFormat="1" x14ac:dyDescent="0.35"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5:15" customFormat="1" x14ac:dyDescent="0.35"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5:15" customFormat="1" x14ac:dyDescent="0.35"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5:15" customFormat="1" x14ac:dyDescent="0.35"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5:15" customFormat="1" x14ac:dyDescent="0.35"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5:15" customFormat="1" x14ac:dyDescent="0.35"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5:15" customFormat="1" x14ac:dyDescent="0.35"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5:15" customFormat="1" x14ac:dyDescent="0.35"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5:15" customFormat="1" x14ac:dyDescent="0.35"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5:15" customFormat="1" x14ac:dyDescent="0.35"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5:15" customFormat="1" x14ac:dyDescent="0.35"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5:15" customFormat="1" x14ac:dyDescent="0.35"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5:15" customFormat="1" x14ac:dyDescent="0.35"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5:15" customFormat="1" x14ac:dyDescent="0.35"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5:15" customFormat="1" x14ac:dyDescent="0.35"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5:15" customFormat="1" x14ac:dyDescent="0.35"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5:15" customFormat="1" x14ac:dyDescent="0.35"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5:15" customFormat="1" x14ac:dyDescent="0.35"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5:15" customFormat="1" x14ac:dyDescent="0.35"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5:15" customFormat="1" x14ac:dyDescent="0.35"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5:15" customFormat="1" x14ac:dyDescent="0.35"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5:15" customFormat="1" x14ac:dyDescent="0.35"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5:15" customFormat="1" x14ac:dyDescent="0.35"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5:15" customFormat="1" x14ac:dyDescent="0.35"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5:15" customFormat="1" x14ac:dyDescent="0.35"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5:15" customFormat="1" x14ac:dyDescent="0.35"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5:15" customFormat="1" x14ac:dyDescent="0.35"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5:15" customFormat="1" x14ac:dyDescent="0.35"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5:15" customFormat="1" x14ac:dyDescent="0.35"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5:15" customFormat="1" x14ac:dyDescent="0.35"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5:15" customFormat="1" x14ac:dyDescent="0.35"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5:15" customFormat="1" x14ac:dyDescent="0.35"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5:15" customFormat="1" x14ac:dyDescent="0.35"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5:15" customFormat="1" x14ac:dyDescent="0.35"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5:15" customFormat="1" x14ac:dyDescent="0.35"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5:15" customFormat="1" x14ac:dyDescent="0.35"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5:15" customFormat="1" x14ac:dyDescent="0.35"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5:15" customFormat="1" x14ac:dyDescent="0.35"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5:15" customFormat="1" x14ac:dyDescent="0.35"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5:15" customFormat="1" x14ac:dyDescent="0.35"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5:15" customFormat="1" x14ac:dyDescent="0.35"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5:15" customFormat="1" x14ac:dyDescent="0.35"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5:15" customFormat="1" x14ac:dyDescent="0.35"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5:15" customFormat="1" x14ac:dyDescent="0.35"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5:15" customFormat="1" x14ac:dyDescent="0.35"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5:15" customFormat="1" x14ac:dyDescent="0.35"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5:15" customFormat="1" x14ac:dyDescent="0.35"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5:15" customFormat="1" x14ac:dyDescent="0.35"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5:15" customFormat="1" x14ac:dyDescent="0.35"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5:15" customFormat="1" x14ac:dyDescent="0.35"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5:15" customFormat="1" x14ac:dyDescent="0.35"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5:15" customFormat="1" x14ac:dyDescent="0.35"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5:15" customFormat="1" x14ac:dyDescent="0.35"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5:15" customFormat="1" x14ac:dyDescent="0.35"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5:15" customFormat="1" x14ac:dyDescent="0.35"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5:15" customFormat="1" x14ac:dyDescent="0.35"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5:15" customFormat="1" x14ac:dyDescent="0.35"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5:15" customFormat="1" x14ac:dyDescent="0.35"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5:15" customFormat="1" x14ac:dyDescent="0.35"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5:15" customFormat="1" x14ac:dyDescent="0.35"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5:15" customFormat="1" x14ac:dyDescent="0.35"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5:15" customFormat="1" x14ac:dyDescent="0.35"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5:15" customFormat="1" x14ac:dyDescent="0.35"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5:15" customFormat="1" x14ac:dyDescent="0.35"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5:15" customFormat="1" x14ac:dyDescent="0.35"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5:15" customFormat="1" x14ac:dyDescent="0.35"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5:15" customFormat="1" x14ac:dyDescent="0.35"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5:15" customFormat="1" x14ac:dyDescent="0.35"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5:15" customFormat="1" x14ac:dyDescent="0.35"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5:15" customFormat="1" x14ac:dyDescent="0.35"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5:15" customFormat="1" x14ac:dyDescent="0.35"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5:15" customFormat="1" x14ac:dyDescent="0.35"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5:15" customFormat="1" x14ac:dyDescent="0.35"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5:15" customFormat="1" x14ac:dyDescent="0.35"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5:15" customFormat="1" x14ac:dyDescent="0.35"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5:15" customFormat="1" x14ac:dyDescent="0.35"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5:15" customFormat="1" x14ac:dyDescent="0.35"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5:15" customFormat="1" x14ac:dyDescent="0.35"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5:15" customFormat="1" x14ac:dyDescent="0.35"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5:15" customFormat="1" x14ac:dyDescent="0.35"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5:15" customFormat="1" x14ac:dyDescent="0.35"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5:15" customFormat="1" x14ac:dyDescent="0.35"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5:15" customFormat="1" x14ac:dyDescent="0.35"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5:15" customFormat="1" x14ac:dyDescent="0.35"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5:15" customFormat="1" x14ac:dyDescent="0.35"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5:15" customFormat="1" x14ac:dyDescent="0.35"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5:15" customFormat="1" x14ac:dyDescent="0.35"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5:15" customFormat="1" x14ac:dyDescent="0.35"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5:15" customFormat="1" x14ac:dyDescent="0.35"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5:15" customFormat="1" x14ac:dyDescent="0.35"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5:15" customFormat="1" x14ac:dyDescent="0.35"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5:15" customFormat="1" x14ac:dyDescent="0.35"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5:15" customFormat="1" x14ac:dyDescent="0.35"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5:15" customFormat="1" x14ac:dyDescent="0.35"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5:15" customFormat="1" x14ac:dyDescent="0.35"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5:15" customFormat="1" x14ac:dyDescent="0.35"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5:15" customFormat="1" x14ac:dyDescent="0.35"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5:15" customFormat="1" x14ac:dyDescent="0.35"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5:15" customFormat="1" x14ac:dyDescent="0.35"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5:15" customFormat="1" x14ac:dyDescent="0.35"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5:15" customFormat="1" x14ac:dyDescent="0.35"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5:15" customFormat="1" x14ac:dyDescent="0.35"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5:15" customFormat="1" x14ac:dyDescent="0.35"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5:15" customFormat="1" x14ac:dyDescent="0.35"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5:15" customFormat="1" x14ac:dyDescent="0.35"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5:15" customFormat="1" x14ac:dyDescent="0.35"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5:15" customFormat="1" x14ac:dyDescent="0.35"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</row>
    <row r="1002" spans="5:15" x14ac:dyDescent="0.35">
      <c r="N1002" s="1"/>
      <c r="O1002" s="1"/>
    </row>
    <row r="1003" spans="5:15" x14ac:dyDescent="0.35">
      <c r="N1003" s="1"/>
      <c r="O1003" s="1"/>
    </row>
    <row r="1004" spans="5:15" x14ac:dyDescent="0.35">
      <c r="N1004" s="1"/>
      <c r="O1004" s="1"/>
    </row>
    <row r="1005" spans="5:15" x14ac:dyDescent="0.35">
      <c r="N1005" s="1"/>
      <c r="O1005" s="1"/>
    </row>
    <row r="1006" spans="5:15" x14ac:dyDescent="0.35">
      <c r="N1006" s="1"/>
      <c r="O1006" s="1"/>
    </row>
    <row r="1007" spans="5:15" x14ac:dyDescent="0.35">
      <c r="N1007" s="1"/>
      <c r="O1007" s="1"/>
    </row>
    <row r="1008" spans="5:15" x14ac:dyDescent="0.35">
      <c r="N1008" s="1"/>
      <c r="O1008" s="1"/>
    </row>
    <row r="1009" spans="14:15" x14ac:dyDescent="0.35">
      <c r="N1009" s="1"/>
      <c r="O1009" s="1"/>
    </row>
    <row r="1010" spans="14:15" x14ac:dyDescent="0.35">
      <c r="N1010" s="1"/>
      <c r="O1010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A" promptTitle="Aviso" prompt="Informe a Coluna B apenas após informar a Coluna A" sqref="B7:B1001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7:C1001" xr:uid="{6BCEBE71-D782-4086-806B-02189C33D3BF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D7:D1001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E7:E1001" xr:uid="{06BA40BD-83FC-4AA3-96E6-1C81096BF94E}">
      <formula1>INDIRECT("A"&amp;ROW())&lt;&gt;""</formula1>
    </dataValidation>
    <dataValidation type="custom" errorStyle="warning" allowBlank="1" showInputMessage="1" showErrorMessage="1" errorTitle="Alerta" error="Voce nao preencheu a Coluna E" promptTitle="Aviso" prompt="Informe a Coluna F apenas após informar a Coluna E" sqref="F7:F1001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7:G1001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7:H1001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7:I1001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7:J1001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7:K1001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7:L1001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7:M1001" xr:uid="{FBC36B2F-87E6-46C7-ACCF-62C950241040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José Guilherme Novaes Bertolani</cp:lastModifiedBy>
  <dcterms:created xsi:type="dcterms:W3CDTF">2025-09-03T09:15:53Z</dcterms:created>
  <dcterms:modified xsi:type="dcterms:W3CDTF">2025-09-15T14:05:27Z</dcterms:modified>
</cp:coreProperties>
</file>